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utualFund\پرسنل نمونه\j.moradpour\صورت وضعیت پرتفوی\1405\05\املاک\"/>
    </mc:Choice>
  </mc:AlternateContent>
  <bookViews>
    <workbookView xWindow="0" yWindow="0" windowWidth="28800" windowHeight="11400" firstSheet="10" activeTab="18"/>
  </bookViews>
  <sheets>
    <sheet name="تیتر" sheetId="16" state="hidden" r:id="rId1"/>
    <sheet name="0" sheetId="1" r:id="rId2"/>
    <sheet name="سرمایه گذاری ها  " sheetId="19" r:id="rId3"/>
    <sheet name="سرمایه گذاری در املاک" sheetId="2" r:id="rId4"/>
    <sheet name="سرمایه گذاری در سهام (2)" sheetId="25" r:id="rId5"/>
    <sheet name="صندوق" sheetId="4" r:id="rId6"/>
    <sheet name="سپرده" sheetId="6" r:id="rId7"/>
    <sheet name="درآمدها" sheetId="8" r:id="rId8"/>
    <sheet name="درآمد سرمایه گذاری املاک" sheetId="26" r:id="rId9"/>
    <sheet name="درآمد فروش املاک" sheetId="27" state="hidden" r:id="rId10"/>
    <sheet name="درآمد سرمایه گذاری در سهام " sheetId="13" r:id="rId11"/>
    <sheet name="درآمد سود سهام" sheetId="9" state="hidden" r:id="rId12"/>
    <sheet name="درآمد سرمایه گذاری در صندوق" sheetId="14" r:id="rId13"/>
    <sheet name="درآمد سود صندوق" sheetId="28" state="hidden" r:id="rId14"/>
    <sheet name="درآمد سپرده بانکی " sheetId="15" r:id="rId15"/>
    <sheet name="سایر درآمد ها" sheetId="22" r:id="rId16"/>
    <sheet name="درآمد فروش سهام" sheetId="18" r:id="rId17"/>
    <sheet name="درآمد تغییر قیمت" sheetId="21" r:id="rId18"/>
    <sheet name="درآمد سپرده بانکی  (2)" sheetId="24" r:id="rId19"/>
  </sheets>
  <definedNames>
    <definedName name="_xlnm.Print_Area" localSheetId="17">'درآمد تغییر قیمت'!$A$1:$R$23</definedName>
    <definedName name="_xlnm.Print_Area" localSheetId="14">'درآمد سپرده بانکی '!$A$1:$I$14</definedName>
    <definedName name="_xlnm.Print_Area" localSheetId="18">'درآمد سپرده بانکی  (2)'!$A$1:$M$14</definedName>
    <definedName name="_xlnm.Print_Area" localSheetId="8">'درآمد سرمایه گذاری املاک'!$A$1:$S$23</definedName>
    <definedName name="_xlnm.Print_Area" localSheetId="10">'درآمد سرمایه گذاری در سهام '!$A$1:$V$21</definedName>
    <definedName name="_xlnm.Print_Area" localSheetId="12">'درآمد سرمایه گذاری در صندوق'!$A$1:$V$18</definedName>
    <definedName name="_xlnm.Print_Area" localSheetId="11">'درآمد سود سهام'!$A$1:$T$15</definedName>
    <definedName name="_xlnm.Print_Area" localSheetId="13">'درآمد سود صندوق'!$A$1:$L$11</definedName>
    <definedName name="_xlnm.Print_Area" localSheetId="9">'درآمد فروش املاک'!$A$1:$R$18</definedName>
    <definedName name="_xlnm.Print_Area" localSheetId="16">'درآمد فروش سهام'!$A$1:$Q$24</definedName>
    <definedName name="_xlnm.Print_Area" localSheetId="7">درآمدها!$A$1:$I$16</definedName>
    <definedName name="_xlnm.Print_Area" localSheetId="15">'سایر درآمد ها'!$A$1:$F$13</definedName>
    <definedName name="_xlnm.Print_Area" localSheetId="6">سپرده!$A$1:$L$15</definedName>
    <definedName name="_xlnm.Print_Area" localSheetId="3">'سرمایه گذاری در املاک'!$A$1:$AE$26</definedName>
    <definedName name="_xlnm.Print_Area" localSheetId="4">'سرمایه گذاری در سهام (2)'!$A$1:$Y$26</definedName>
    <definedName name="_xlnm.Print_Area" localSheetId="2">'سرمایه گذاری ها  '!$A$1:$J$14</definedName>
    <definedName name="_xlnm.Print_Area" localSheetId="5">صندوق!$A$1:$Z$16</definedName>
    <definedName name="_xlnm.Print_Titles" localSheetId="17">'درآمد تغییر قیمت'!$1:$8</definedName>
    <definedName name="_xlnm.Print_Titles" localSheetId="8">'درآمد سرمایه گذاری املاک'!$1:$9</definedName>
    <definedName name="_xlnm.Print_Titles" localSheetId="10">'درآمد سرمایه گذاری در سهام '!$1:$9</definedName>
    <definedName name="_xlnm.Print_Titles" localSheetId="11">'درآمد سود سهام'!$1:$9</definedName>
    <definedName name="_xlnm.Print_Titles" localSheetId="9">'درآمد فروش املاک'!$1:$8</definedName>
    <definedName name="_xlnm.Print_Titles" localSheetId="16">'درآمد فروش سهام'!$1:$8</definedName>
    <definedName name="_xlnm.Print_Titles" localSheetId="3">'سرمایه گذاری در املاک'!$1:$10</definedName>
    <definedName name="_xlnm.Print_Titles" localSheetId="4">'سرمایه گذاری در سهام (2)'!$1:$10</definedName>
  </definedNames>
  <calcPr calcId="162913"/>
</workbook>
</file>

<file path=xl/calcChain.xml><?xml version="1.0" encoding="utf-8"?>
<calcChain xmlns="http://schemas.openxmlformats.org/spreadsheetml/2006/main">
  <c r="U14" i="26" l="1"/>
  <c r="I13" i="6" l="1"/>
  <c r="AC14" i="4"/>
  <c r="AD31" i="25"/>
  <c r="I9" i="19"/>
  <c r="G15" i="8" l="1"/>
  <c r="Q29" i="18"/>
  <c r="Q21" i="18"/>
  <c r="Q18" i="13"/>
  <c r="O21" i="18"/>
  <c r="M22" i="21" l="1"/>
  <c r="O22" i="21"/>
  <c r="Q22" i="21"/>
  <c r="Q20" i="21"/>
  <c r="Q21" i="21"/>
  <c r="Q11" i="21"/>
  <c r="Q12" i="21"/>
  <c r="Q13" i="21"/>
  <c r="Q14" i="21"/>
  <c r="Q15" i="21"/>
  <c r="Q16" i="21"/>
  <c r="Q17" i="21"/>
  <c r="Q18" i="21"/>
  <c r="Q19" i="21"/>
  <c r="Q10" i="21"/>
  <c r="E22" i="21"/>
  <c r="G22" i="21"/>
  <c r="I20" i="21"/>
  <c r="I21" i="21"/>
  <c r="I11" i="21"/>
  <c r="I12" i="21"/>
  <c r="I13" i="21"/>
  <c r="I14" i="21"/>
  <c r="I15" i="21"/>
  <c r="I16" i="21"/>
  <c r="I17" i="21"/>
  <c r="I18" i="21"/>
  <c r="I19" i="21"/>
  <c r="I10" i="21"/>
  <c r="I13" i="15"/>
  <c r="C13" i="15"/>
  <c r="G13" i="15"/>
  <c r="S16" i="14"/>
  <c r="Q16" i="14"/>
  <c r="O16" i="14"/>
  <c r="M16" i="14"/>
  <c r="C16" i="14"/>
  <c r="I16" i="14"/>
  <c r="S11" i="14"/>
  <c r="S12" i="14"/>
  <c r="S13" i="14"/>
  <c r="S14" i="14"/>
  <c r="S15" i="14"/>
  <c r="S10" i="14"/>
  <c r="E16" i="14"/>
  <c r="G19" i="26"/>
  <c r="Y12" i="4"/>
  <c r="Y13" i="4"/>
  <c r="Y14" i="4"/>
  <c r="Y13" i="25"/>
  <c r="Y14" i="25"/>
  <c r="Y15" i="25"/>
  <c r="Y16" i="25"/>
  <c r="Y17" i="25"/>
  <c r="Y18" i="25"/>
  <c r="E22" i="2"/>
  <c r="C19" i="26"/>
  <c r="E19" i="26"/>
  <c r="O19" i="26"/>
  <c r="M19" i="26"/>
  <c r="K19" i="26"/>
  <c r="O11" i="26"/>
  <c r="O12" i="26"/>
  <c r="O13" i="26"/>
  <c r="O14" i="26"/>
  <c r="O15" i="26"/>
  <c r="O16" i="26"/>
  <c r="O17" i="26"/>
  <c r="O18" i="26"/>
  <c r="G11" i="26"/>
  <c r="G12" i="26"/>
  <c r="G13" i="26"/>
  <c r="G14" i="26"/>
  <c r="G15" i="26"/>
  <c r="G16" i="26"/>
  <c r="G17" i="26"/>
  <c r="G18" i="26"/>
  <c r="G21" i="18"/>
  <c r="I22" i="21" l="1"/>
  <c r="G16" i="14"/>
  <c r="C12" i="22"/>
  <c r="I12" i="14"/>
  <c r="I13" i="14"/>
  <c r="I14" i="14"/>
  <c r="I15" i="14"/>
  <c r="I11" i="14"/>
  <c r="C18" i="13"/>
  <c r="E18" i="13"/>
  <c r="G18" i="13"/>
  <c r="I18" i="13"/>
  <c r="M18" i="13"/>
  <c r="O18" i="13"/>
  <c r="S15" i="13"/>
  <c r="S16" i="13"/>
  <c r="S17" i="13"/>
  <c r="S11" i="13"/>
  <c r="S12" i="13"/>
  <c r="S13" i="13"/>
  <c r="S18" i="13" s="1"/>
  <c r="S14" i="13"/>
  <c r="S10" i="13"/>
  <c r="I15" i="13"/>
  <c r="I16" i="13"/>
  <c r="I17" i="13"/>
  <c r="I11" i="13"/>
  <c r="I12" i="13"/>
  <c r="I13" i="13"/>
  <c r="I14" i="13"/>
  <c r="I10" i="13"/>
  <c r="I11" i="6"/>
  <c r="I12" i="6"/>
  <c r="I10" i="6"/>
  <c r="G13" i="6"/>
  <c r="E13" i="6"/>
  <c r="C13" i="6"/>
  <c r="W20" i="25"/>
  <c r="Y21" i="2"/>
  <c r="U22" i="2"/>
  <c r="S22" i="2"/>
  <c r="O22" i="2"/>
  <c r="K22" i="2"/>
  <c r="G22" i="2"/>
  <c r="W22" i="2"/>
  <c r="S21" i="2"/>
  <c r="W15" i="4" l="1"/>
  <c r="U15" i="4"/>
  <c r="O15" i="4"/>
  <c r="K15" i="4"/>
  <c r="G15" i="4"/>
  <c r="E15" i="4"/>
  <c r="I17" i="18" l="1"/>
  <c r="I14" i="18"/>
  <c r="I18" i="18"/>
  <c r="I19" i="18"/>
  <c r="I20" i="18"/>
  <c r="AA13" i="25"/>
  <c r="AA14" i="25"/>
  <c r="AA15" i="25"/>
  <c r="AA16" i="25"/>
  <c r="AA18" i="25"/>
  <c r="AA19" i="25"/>
  <c r="AA12" i="25"/>
  <c r="A23" i="1"/>
  <c r="E32" i="26" l="1"/>
  <c r="E33" i="26" s="1"/>
  <c r="Q13" i="9"/>
  <c r="Q12" i="9"/>
  <c r="Q11" i="9"/>
  <c r="Q10" i="9"/>
  <c r="O13" i="9"/>
  <c r="O12" i="9"/>
  <c r="O11" i="9"/>
  <c r="O10" i="9"/>
  <c r="AA12" i="4" l="1"/>
  <c r="S10" i="21"/>
  <c r="M15" i="27" l="1"/>
  <c r="O15" i="27"/>
  <c r="Q15" i="27"/>
  <c r="G15" i="27"/>
  <c r="E15" i="27"/>
  <c r="S18" i="21"/>
  <c r="S17" i="21"/>
  <c r="S19" i="21"/>
  <c r="S16" i="21"/>
  <c r="S12" i="21"/>
  <c r="S11" i="21"/>
  <c r="S13" i="21"/>
  <c r="M21" i="18" l="1"/>
  <c r="M15" i="24"/>
  <c r="G15" i="24"/>
  <c r="I14" i="27"/>
  <c r="I13" i="27"/>
  <c r="E12" i="22"/>
  <c r="I15" i="27" l="1"/>
  <c r="E18" i="8"/>
  <c r="Y13" i="2"/>
  <c r="Y14" i="2"/>
  <c r="Y15" i="2"/>
  <c r="Y16" i="2"/>
  <c r="Y17" i="2"/>
  <c r="Y18" i="2"/>
  <c r="Y19" i="2"/>
  <c r="Y20" i="2"/>
  <c r="Y12" i="2"/>
  <c r="I24" i="21" l="1"/>
  <c r="I25" i="21" s="1"/>
  <c r="I26" i="21"/>
  <c r="I27" i="21" s="1"/>
  <c r="Y22" i="2"/>
  <c r="I16" i="18"/>
  <c r="I21" i="18" s="1"/>
  <c r="K6" i="28"/>
  <c r="I6" i="28"/>
  <c r="M10" i="24"/>
  <c r="M12" i="24"/>
  <c r="M11" i="24"/>
  <c r="U20" i="25"/>
  <c r="K20" i="25"/>
  <c r="G20" i="25"/>
  <c r="E20" i="25"/>
  <c r="Y19" i="25"/>
  <c r="Y12" i="25"/>
  <c r="Y20" i="25" s="1"/>
  <c r="A24" i="1"/>
  <c r="I20" i="6" l="1"/>
  <c r="E21" i="18"/>
  <c r="O10" i="26" l="1"/>
  <c r="K13" i="24"/>
  <c r="E13" i="24"/>
  <c r="I13" i="24"/>
  <c r="G13" i="24"/>
  <c r="G16" i="24" s="1"/>
  <c r="C13" i="24"/>
  <c r="S11" i="9"/>
  <c r="S12" i="9"/>
  <c r="S13" i="9"/>
  <c r="S10" i="9"/>
  <c r="I10" i="15"/>
  <c r="O16" i="9"/>
  <c r="AA13" i="4"/>
  <c r="AA14" i="4"/>
  <c r="AA11" i="4"/>
  <c r="J10" i="8" l="1"/>
  <c r="E10" i="15"/>
  <c r="E11" i="15"/>
  <c r="E12" i="15"/>
  <c r="I12" i="15"/>
  <c r="I11" i="15"/>
  <c r="S14" i="9"/>
  <c r="O14" i="9"/>
  <c r="O17" i="9" s="1"/>
  <c r="Q14" i="9"/>
  <c r="E13" i="15" l="1"/>
  <c r="K10" i="6"/>
  <c r="K11" i="6"/>
  <c r="K12" i="6"/>
  <c r="K13" i="6" l="1"/>
  <c r="M13" i="24"/>
  <c r="U24" i="4"/>
  <c r="E24" i="4"/>
  <c r="G29" i="2"/>
  <c r="W29" i="2"/>
  <c r="E21" i="14"/>
  <c r="Q20" i="27"/>
  <c r="M28" i="26"/>
  <c r="K28" i="26"/>
  <c r="M11" i="9"/>
  <c r="M12" i="9"/>
  <c r="M13" i="9"/>
  <c r="M10" i="9"/>
  <c r="M14" i="9" s="1"/>
  <c r="K14" i="9"/>
  <c r="I14" i="9"/>
  <c r="G10" i="26"/>
  <c r="C28" i="26"/>
  <c r="E29" i="25"/>
  <c r="G30" i="25"/>
  <c r="U29" i="25"/>
  <c r="W30" i="25"/>
  <c r="Z22" i="2"/>
  <c r="Z19" i="2"/>
  <c r="AB17" i="2"/>
  <c r="M24" i="26" l="1"/>
  <c r="K24" i="26"/>
  <c r="E24" i="26"/>
  <c r="G12" i="19"/>
  <c r="G17" i="19"/>
  <c r="I12" i="19" l="1"/>
  <c r="C24" i="26"/>
  <c r="K22" i="26"/>
  <c r="M22" i="26"/>
  <c r="W19" i="4"/>
  <c r="G25" i="25"/>
  <c r="W27" i="2"/>
  <c r="G27" i="2"/>
  <c r="E17" i="19"/>
  <c r="Q26" i="21"/>
  <c r="Q27" i="21" s="1"/>
  <c r="M21" i="14"/>
  <c r="I29" i="18"/>
  <c r="I30" i="18" s="1"/>
  <c r="C19" i="14"/>
  <c r="Q25" i="18" l="1"/>
  <c r="Q26" i="18" s="1"/>
  <c r="Q30" i="18"/>
  <c r="O21" i="14"/>
  <c r="Q24" i="21"/>
  <c r="Q25" i="21" s="1"/>
  <c r="E19" i="14"/>
  <c r="K7" i="26"/>
  <c r="G19" i="4"/>
  <c r="W25" i="25"/>
  <c r="W26" i="25" l="1"/>
  <c r="G20" i="4" l="1"/>
  <c r="G25" i="4"/>
  <c r="G22" i="26"/>
  <c r="G28" i="26"/>
  <c r="G26" i="25" l="1"/>
  <c r="W20" i="4" l="1"/>
  <c r="W25" i="4"/>
  <c r="J14" i="8" l="1"/>
  <c r="J11" i="8" l="1"/>
  <c r="Y11" i="4" l="1"/>
  <c r="Y15" i="4" s="1"/>
  <c r="C17" i="6"/>
  <c r="O20" i="25"/>
  <c r="I17" i="6" l="1"/>
  <c r="I25" i="18" l="1"/>
  <c r="I26" i="18" s="1"/>
  <c r="J12" i="8" l="1"/>
  <c r="A2" i="22" l="1"/>
  <c r="A3" i="22"/>
  <c r="A1" i="22"/>
  <c r="A2" i="24"/>
  <c r="A3" i="24"/>
  <c r="A1" i="24"/>
  <c r="A2" i="15"/>
  <c r="A3" i="15"/>
  <c r="A1" i="15"/>
  <c r="A2" i="14"/>
  <c r="A3" i="14"/>
  <c r="A1" i="14"/>
  <c r="A2" i="18"/>
  <c r="A3" i="18"/>
  <c r="A1" i="18"/>
  <c r="A2" i="21"/>
  <c r="A3" i="21"/>
  <c r="A1" i="21"/>
  <c r="A2" i="9"/>
  <c r="A3" i="9"/>
  <c r="A1" i="9"/>
  <c r="A2" i="13"/>
  <c r="A3" i="13"/>
  <c r="A1" i="13"/>
  <c r="A2" i="26"/>
  <c r="A3" i="26"/>
  <c r="A1" i="26"/>
  <c r="A2" i="8"/>
  <c r="A3" i="8"/>
  <c r="A1" i="8"/>
  <c r="G10" i="19" l="1"/>
  <c r="I10" i="19" s="1"/>
  <c r="G11" i="19" l="1"/>
  <c r="I11" i="19" l="1"/>
  <c r="I13" i="19" s="1"/>
  <c r="C7" i="14"/>
  <c r="E12" i="8" l="1"/>
  <c r="I12" i="8" s="1"/>
  <c r="M8" i="14"/>
  <c r="E9" i="19"/>
  <c r="K8" i="26" l="1"/>
  <c r="G9" i="19" l="1"/>
  <c r="G13" i="19" s="1"/>
  <c r="E11" i="8" l="1"/>
  <c r="I11" i="8" l="1"/>
  <c r="E11" i="19"/>
  <c r="H18" i="19" l="1"/>
  <c r="C7" i="26" l="1"/>
  <c r="K7" i="27" l="1"/>
  <c r="C7" i="27"/>
  <c r="A3" i="27"/>
  <c r="A2" i="27"/>
  <c r="A1" i="27"/>
  <c r="E10" i="8" l="1"/>
  <c r="I10" i="8" l="1"/>
  <c r="J13" i="8"/>
  <c r="G16" i="15"/>
  <c r="M16" i="24"/>
  <c r="E10" i="19"/>
  <c r="Q8" i="25"/>
  <c r="C8" i="25"/>
  <c r="A3" i="25"/>
  <c r="A2" i="25"/>
  <c r="A1" i="25"/>
  <c r="J15" i="8" l="1"/>
  <c r="U10" i="13" s="1"/>
  <c r="G18" i="19"/>
  <c r="G8" i="15"/>
  <c r="J17" i="8" l="1"/>
  <c r="U10" i="14"/>
  <c r="U12" i="14"/>
  <c r="Q14" i="26"/>
  <c r="Q18" i="26"/>
  <c r="Q11" i="26"/>
  <c r="Q12" i="26"/>
  <c r="Q16" i="26"/>
  <c r="Q13" i="26"/>
  <c r="Q17" i="26"/>
  <c r="Q15" i="26"/>
  <c r="K10" i="8"/>
  <c r="U13" i="13"/>
  <c r="U13" i="14"/>
  <c r="U14" i="13"/>
  <c r="U11" i="14"/>
  <c r="U14" i="14"/>
  <c r="U15" i="14"/>
  <c r="U11" i="13"/>
  <c r="U12" i="13"/>
  <c r="K13" i="8"/>
  <c r="Q10" i="26"/>
  <c r="K12" i="8"/>
  <c r="U15" i="13"/>
  <c r="U17" i="13"/>
  <c r="K11" i="8"/>
  <c r="U16" i="13"/>
  <c r="K14" i="8"/>
  <c r="E12" i="19"/>
  <c r="E13" i="19" s="1"/>
  <c r="Q19" i="26" l="1"/>
  <c r="U16" i="14"/>
  <c r="U18" i="13"/>
  <c r="E18" i="19"/>
  <c r="C16" i="15"/>
  <c r="E8" i="22" l="1"/>
  <c r="C8" i="22"/>
  <c r="I7" i="24"/>
  <c r="C7" i="24"/>
  <c r="K7" i="21"/>
  <c r="C7" i="21"/>
  <c r="G6" i="19"/>
  <c r="E6" i="19"/>
  <c r="E14" i="8" l="1"/>
  <c r="I14" i="8" s="1"/>
  <c r="A22" i="1" l="1"/>
  <c r="A1" i="19" s="1"/>
  <c r="G7" i="15"/>
  <c r="C7" i="15"/>
  <c r="O7" i="14"/>
  <c r="M7" i="13"/>
  <c r="C7" i="13"/>
  <c r="K7" i="18"/>
  <c r="C7" i="18"/>
  <c r="I7" i="9"/>
  <c r="O7" i="9"/>
  <c r="E8" i="8"/>
  <c r="I7" i="6"/>
  <c r="C7" i="6"/>
  <c r="Q7" i="4"/>
  <c r="C7" i="4"/>
  <c r="Q8" i="2"/>
  <c r="C8" i="2"/>
  <c r="A2" i="6"/>
  <c r="A3" i="6"/>
  <c r="A1" i="6"/>
  <c r="A2" i="4"/>
  <c r="A3" i="4"/>
  <c r="A1" i="4"/>
  <c r="A3" i="2"/>
  <c r="A2" i="2"/>
  <c r="A1" i="2"/>
  <c r="A3" i="19"/>
  <c r="E13" i="8" l="1"/>
  <c r="E15" i="8" s="1"/>
  <c r="I13" i="26" l="1"/>
  <c r="I17" i="26"/>
  <c r="I12" i="26"/>
  <c r="I14" i="26"/>
  <c r="I18" i="26"/>
  <c r="I16" i="26"/>
  <c r="I11" i="26"/>
  <c r="I15" i="26"/>
  <c r="G10" i="8"/>
  <c r="K14" i="13"/>
  <c r="K12" i="13"/>
  <c r="K16" i="13"/>
  <c r="K15" i="13"/>
  <c r="K13" i="13"/>
  <c r="K11" i="13"/>
  <c r="K17" i="13"/>
  <c r="I13" i="8"/>
  <c r="I15" i="8" s="1"/>
  <c r="K12" i="14" l="1"/>
  <c r="K13" i="14"/>
  <c r="K14" i="14"/>
  <c r="K15" i="14"/>
  <c r="G13" i="8"/>
  <c r="G12" i="8"/>
  <c r="K10" i="13"/>
  <c r="K18" i="13" s="1"/>
  <c r="G11" i="8"/>
  <c r="K11" i="14"/>
  <c r="G14" i="8"/>
  <c r="E19" i="8"/>
  <c r="I10" i="26"/>
  <c r="I19" i="26" s="1"/>
  <c r="K16" i="14" l="1"/>
</calcChain>
</file>

<file path=xl/sharedStrings.xml><?xml version="1.0" encoding="utf-8"?>
<sst xmlns="http://schemas.openxmlformats.org/spreadsheetml/2006/main" count="380" uniqueCount="159">
  <si>
    <t>‫تغییرات طی دوره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</si>
  <si>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</si>
  <si>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</si>
  <si>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</si>
  <si>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</si>
  <si>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</si>
  <si>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</si>
  <si>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</si>
  <si>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</si>
  <si>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</si>
  <si>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‫جمع</t>
  </si>
  <si>
    <t>‫نام سهام</t>
  </si>
  <si>
    <t>‫نام اوراق</t>
  </si>
  <si>
    <t>‫قیمت بازار هر ورقه</t>
  </si>
  <si>
    <t>‫افزایش</t>
  </si>
  <si>
    <t>‫کاهش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</si>
  <si>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</si>
  <si>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</si>
  <si>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</si>
  <si>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</si>
  <si>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</si>
  <si>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</si>
  <si>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‫سایر درآمدها</t>
  </si>
  <si>
    <t>‫اطلاعات مجمع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</si>
  <si>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</si>
  <si>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</si>
  <si>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</si>
  <si>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</si>
  <si>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</si>
  <si>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</si>
  <si>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‫ارزش دفتری</t>
  </si>
  <si>
    <t>‫ارزش دفتری برابر است با میانگین موزون خالص ارزش فروش هر سهم/ورقه در ابتدای دوره با خرید طی دوره ضربدر تعداد در پایان دوره</t>
  </si>
  <si>
    <t>‫سهام</t>
  </si>
  <si>
    <t>‫جمع مبلغ</t>
  </si>
  <si>
    <t>‫درصد از کل درآمد ها</t>
  </si>
  <si>
    <t>‫نام سپرده</t>
  </si>
  <si>
    <t>‫درصد سود به میانگین سپرده</t>
  </si>
  <si>
    <t>صورت وضعیت پرتفوی</t>
  </si>
  <si>
    <t xml:space="preserve">1- سرمایه گذاری ها </t>
  </si>
  <si>
    <t>نسبت  به کل دارایی ها</t>
  </si>
  <si>
    <t>شرح</t>
  </si>
  <si>
    <t>یادداشت</t>
  </si>
  <si>
    <t xml:space="preserve">ریال </t>
  </si>
  <si>
    <t>درصد</t>
  </si>
  <si>
    <t>1-1</t>
  </si>
  <si>
    <t>1-2</t>
  </si>
  <si>
    <t>1-3</t>
  </si>
  <si>
    <t>ریال</t>
  </si>
  <si>
    <t>سرمایه گذاری در سهام و حق تقدم سهام</t>
  </si>
  <si>
    <t>2-1</t>
  </si>
  <si>
    <t>2-2</t>
  </si>
  <si>
    <t>2-3</t>
  </si>
  <si>
    <t>2-4</t>
  </si>
  <si>
    <t>‫سود ( زیان) ناشی از تغییر قیمت</t>
  </si>
  <si>
    <t>‫سود (زیان) ناشی از فروش</t>
  </si>
  <si>
    <t>‫درآمد سود</t>
  </si>
  <si>
    <t>‫خالص درآمد</t>
  </si>
  <si>
    <t>مبلغ-ریال</t>
  </si>
  <si>
    <t>درصد به کل دارایی ها</t>
  </si>
  <si>
    <t>‫مبلغ- ریال</t>
  </si>
  <si>
    <t>نام اوراق</t>
  </si>
  <si>
    <t>صندوق سرمایه گذاری املاک و مستغلات خانه آگاه</t>
  </si>
  <si>
    <t>توسعه و عمران امید</t>
  </si>
  <si>
    <t>بهساز کاشانه تهران</t>
  </si>
  <si>
    <t>تعديل کارمزدکارگزاری</t>
  </si>
  <si>
    <t xml:space="preserve">‫درآمد حاصل از سرمایه گذاری در سپرده بانکی </t>
  </si>
  <si>
    <t>سرمایه گذاری در صندوق های سرمایه گذاری با درآمد ثابت</t>
  </si>
  <si>
    <t>‫درآمد حاصل از سرمایه گذاری در صندوق های سرمایه گذاری با درآمد ثابت</t>
  </si>
  <si>
    <t>سرمایه‌ گذاری‌ ساختمان‌ایران‌</t>
  </si>
  <si>
    <t>بین‌المللی‌توسعه‌ساختمان</t>
  </si>
  <si>
    <t>1-4</t>
  </si>
  <si>
    <t>سرمایه گذاری در واحد های املاک</t>
  </si>
  <si>
    <t xml:space="preserve"> سرمایه گذاری در  سپرده بانکی و گواهی سپرده</t>
  </si>
  <si>
    <t>‫1-1- سرمایه گذاری در واحد های املاک و مستغلات</t>
  </si>
  <si>
    <t>عمران‌وتوسعه‌فارس‌</t>
  </si>
  <si>
    <t>‫درآمد حاصل از سرمایه گذاری در املاک و مستغلات</t>
  </si>
  <si>
    <t>2-5</t>
  </si>
  <si>
    <t>‫2-2- درآمد حاصل از سرمایه گذاری در سهام و حق تقدم سهام:</t>
  </si>
  <si>
    <t>‫درآمد سود سهام
2-2-1</t>
  </si>
  <si>
    <t>درآمد (هزینه) تغییر ارزش
2-2-2</t>
  </si>
  <si>
    <t>درآمد فروش
2-2-3</t>
  </si>
  <si>
    <t>2-2-1‫درآمد سود سهام</t>
  </si>
  <si>
    <t>‫2-2-2درآمد ناشی از تغییر قیمت سهام و حق تقدم</t>
  </si>
  <si>
    <t>2-2-3‫سود(زیان) حاصل از فروش سهام و حق تقدم سهام</t>
  </si>
  <si>
    <t>‫2-3- درآمد حاصل از سرمایه گذاری در صندوق های سرمایه گذاری</t>
  </si>
  <si>
    <t>‫2-4- درآمد حاصل از سرمایه گذاری در سپرده بانکی و گواهی سپرده:</t>
  </si>
  <si>
    <t>‫سود سپرده بانکی و گواهی سپرده
2-4-1</t>
  </si>
  <si>
    <t>‫2-4-1- درآمد حاصل از سرمایه گذاری در سپرده بانکی و گواهی سپرده:</t>
  </si>
  <si>
    <t>‫2-5- سایر درآمدها:</t>
  </si>
  <si>
    <t>‫2-1- درآمد حاصل از سرمایه گذاری در املاک و مستغلات:</t>
  </si>
  <si>
    <t xml:space="preserve">2-1-2‫سود(زیان) حاصل از فروش املاک و مستغلات </t>
  </si>
  <si>
    <t>تعدیل سود سهام</t>
  </si>
  <si>
    <t>‫سود (زیان) ناخالص ناشی از فروش</t>
  </si>
  <si>
    <t>‫1-2- سرمایه گذاری در سهام و حق تقدم سهام</t>
  </si>
  <si>
    <t>‫1-3- سرمایه گذاری درصندوق های سرمایه گذاری</t>
  </si>
  <si>
    <t>‫1-4- سرمایه گذاری در  سپرده های بانکی</t>
  </si>
  <si>
    <t>آپارتمان مجتمع سعادت آباد به شماره سند 003339</t>
  </si>
  <si>
    <t>آپارتمان مجتمع سعادت آیاد به شماره سند 003338</t>
  </si>
  <si>
    <t>آپارتمان مجتمع سعادت آیاد به شماره سند 003340</t>
  </si>
  <si>
    <t>آپارتمان مجتمع سعادت آیاد به شماره سند 003337</t>
  </si>
  <si>
    <t>آپارتمان مجتمع سعادت آیاد به شماره سند 003341</t>
  </si>
  <si>
    <t>صندوق س.درآمد ثابت کارآمد-د</t>
  </si>
  <si>
    <t>واحد 2133برج تهران</t>
  </si>
  <si>
    <t>درآمد اجاره
2-1-1</t>
  </si>
  <si>
    <t>مجتمع نونهالان</t>
  </si>
  <si>
    <t>-</t>
  </si>
  <si>
    <t>سرمایه گذاری مسکن شمال شرق</t>
  </si>
  <si>
    <t>درآمد سود صندوق
2-3-1</t>
  </si>
  <si>
    <t>درآمد  (هزینه) تغییر ارزش
2-3-2</t>
  </si>
  <si>
    <t>درآمد فروش
2-3-3</t>
  </si>
  <si>
    <t xml:space="preserve">انباشته </t>
  </si>
  <si>
    <t xml:space="preserve">صورت وضعیت درآمدها </t>
  </si>
  <si>
    <t>صندوق س افرا نماد پایدار-ثابت</t>
  </si>
  <si>
    <t>مجتمع رازان</t>
  </si>
  <si>
    <t>1404/09/30</t>
  </si>
  <si>
    <t>سرمایه گذاری مسکن پردیس</t>
  </si>
  <si>
    <t>1404/09/12</t>
  </si>
  <si>
    <t>صندوق ص.س.املاک و مستغلات مالک آتیه</t>
  </si>
  <si>
    <t>مجتمع زرگنده</t>
  </si>
  <si>
    <t>1404/10/10</t>
  </si>
  <si>
    <t xml:space="preserve">مجتمع نگین نور </t>
  </si>
  <si>
    <t>ملک پلور</t>
  </si>
  <si>
    <t>ملک محوی</t>
  </si>
  <si>
    <t>ملک بلوار 24 متری</t>
  </si>
  <si>
    <t>1405/01/31</t>
  </si>
  <si>
    <t>بانک پاسارگاد</t>
  </si>
  <si>
    <t>بانک خاورمیانه</t>
  </si>
  <si>
    <t>بانک صادرات</t>
  </si>
  <si>
    <t>صندوق س. لبخند فارابی-د</t>
  </si>
  <si>
    <t>پاسارگاد</t>
  </si>
  <si>
    <t>صادرات</t>
  </si>
  <si>
    <t>خاورمیانه</t>
  </si>
  <si>
    <t xml:space="preserve">صادرات </t>
  </si>
  <si>
    <t>برای ماه منتهی به 1405/03/31</t>
  </si>
  <si>
    <t>ملک متل قو *</t>
  </si>
  <si>
    <t>صورت وضعیت درآمدها</t>
  </si>
  <si>
    <t>نام صندوق</t>
  </si>
  <si>
    <t>تاریخ تقسیم سود</t>
  </si>
  <si>
    <t>تعداد واحد صندوق در زمان تقسیم سود</t>
  </si>
  <si>
    <t>سود متعلق به هر واحد</t>
  </si>
  <si>
    <t>خالص درآمد سود صندوق</t>
  </si>
  <si>
    <t>صندوق املاک و مستغلات مالک آتیه (مالک آتیه1)</t>
  </si>
  <si>
    <t>1405/03/16</t>
  </si>
  <si>
    <t xml:space="preserve">  2-3-1 درآمد سود صندوق </t>
  </si>
  <si>
    <t>جـــمـــع</t>
  </si>
  <si>
    <t>* تغییرات ریالی ناشی از مخارج مستقیم انجام شده مرتبط با بهای تمام شده پروژه می باشد.</t>
  </si>
  <si>
    <t>‫بهای فروش</t>
  </si>
  <si>
    <t>‫قیمت بازار هر ملک</t>
  </si>
  <si>
    <t>صندوق س. با درآمد ثابت کیان</t>
  </si>
  <si>
    <t>صندوق املاک ومستغلات ارزش مسکن (ارزش مسکن1)</t>
  </si>
  <si>
    <t>صورت وضعیت پورتفوی</t>
  </si>
  <si>
    <t>سرمایه گذاری مسکن جنوب</t>
  </si>
  <si>
    <t>1404/04/31</t>
  </si>
  <si>
    <t>1405/05/31</t>
  </si>
  <si>
    <t>برای ماه منتهی به 1405/05/31</t>
  </si>
  <si>
    <t>طی مرداد ماه</t>
  </si>
  <si>
    <t>از ابتدای سال مالی تا پایان مرداد ماه 1405</t>
  </si>
  <si>
    <t>ملک اشک شهر</t>
  </si>
  <si>
    <t>درآمد تغییرارزش
2-1-2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</si>
</sst>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-_ ;_ * #,##0.00\-_ ;_ * &quot;-&quot;??_-_ ;_ @_ "/>
    <numFmt numFmtId="164" formatCode="_(* #,##0.00_);_(* \(#,##0.00\);_(* &quot;-&quot;??_);_(@_)"/>
    <numFmt numFmtId="165" formatCode="#,##0_-;\(#,##0\)"/>
    <numFmt numFmtId="166" formatCode="_ * #,##0.00_)_ر_ي_ا_ل_ ;_ * \(#,##0.00\)_ر_ي_ا_ل_ ;_ * &quot;-&quot;??_)_ر_ي_ا_ل_ ;_ @_ "/>
    <numFmt numFmtId="167" formatCode="_ * #,##0_-_ر_ي_ا_ل_ ;_ * #,##0\-_ر_ي_ا_ل_ ;_ * &quot;-&quot;??_-_ر_ي_ا_ل_ ;_ @_ "/>
    <numFmt numFmtId="168" formatCode="_(* #,##0_);_(* \(#,##0\);_(* &quot;-&quot;??_);_(@_)"/>
    <numFmt numFmtId="169" formatCode="#,##0_ ;\-#,##0\ "/>
    <numFmt numFmtId="170" formatCode="#,##0.00_-;\(#,##0.00\)"/>
    <numFmt numFmtId="171" formatCode="0.00000000"/>
    <numFmt numFmtId="172" formatCode="_ * #,##0_-_ ;_ * #,##0\-_ ;_ * &quot;-&quot;??_-_ ;_ @_ "/>
    <numFmt numFmtId="173" formatCode="0.0000000"/>
    <numFmt numFmtId="174" formatCode="#,##0_ ;\(#,##0\)"/>
    <numFmt numFmtId="175" formatCode="#,##0;\(#,##0\)"/>
    <numFmt numFmtId="176" formatCode="#,##0.00;\(#,##0.00\)"/>
    <numFmt numFmtId="177" formatCode="#,##0.00_ ;\(#,##0.00\)"/>
    <numFmt numFmtId="178" formatCode="_ * #,##0.000_-_ر_ي_ا_ل_ ;_ * #,##0.000\-_ر_ي_ا_ل_ ;_ * &quot;-&quot;??_-_ر_ي_ا_ل_ ;_ @_ "/>
  </numFmts>
  <fonts count="41" x14ac:knownFonts="1">
    <font>
      <sz val="11"/>
      <color indexed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2"/>
      <name val="B Nazanin"/>
      <charset val="178"/>
    </font>
    <font>
      <b/>
      <u/>
      <sz val="18"/>
      <name val="B Nazanin"/>
      <charset val="178"/>
    </font>
    <font>
      <b/>
      <u/>
      <sz val="18"/>
      <name val="B Nazanin"/>
      <charset val="178"/>
    </font>
    <font>
      <b/>
      <sz val="12"/>
      <name val="B Nazanin"/>
      <charset val="178"/>
    </font>
    <font>
      <sz val="11"/>
      <color indexed="8"/>
      <name val="Arial"/>
      <family val="2"/>
      <scheme val="minor"/>
    </font>
    <font>
      <sz val="11"/>
      <name val="Calibri"/>
      <family val="2"/>
    </font>
    <font>
      <sz val="11"/>
      <color indexed="8"/>
      <name val="B Nazanin"/>
      <charset val="178"/>
    </font>
    <font>
      <sz val="12"/>
      <name val="B Nazanin"/>
      <charset val="178"/>
    </font>
    <font>
      <b/>
      <sz val="12"/>
      <name val="B Nazanin"/>
      <charset val="178"/>
    </font>
    <font>
      <b/>
      <sz val="16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rgb="FF0062AC"/>
      <name val="B Nazanin"/>
      <charset val="178"/>
    </font>
    <font>
      <sz val="12"/>
      <color theme="1"/>
      <name val="B Nazanin"/>
      <charset val="178"/>
    </font>
    <font>
      <sz val="11"/>
      <color indexed="8"/>
      <name val="B Nazanin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u/>
      <sz val="16"/>
      <name val="B Nazanin"/>
      <charset val="178"/>
    </font>
    <font>
      <sz val="11"/>
      <name val="B Nazanin"/>
      <charset val="178"/>
    </font>
    <font>
      <b/>
      <sz val="14"/>
      <color indexed="8"/>
      <name val="B Nazanin"/>
      <charset val="178"/>
    </font>
    <font>
      <sz val="14"/>
      <color indexed="8"/>
      <name val="B Nazanin"/>
      <charset val="178"/>
    </font>
    <font>
      <b/>
      <sz val="14"/>
      <name val="B Nazanin"/>
      <charset val="178"/>
    </font>
    <font>
      <sz val="12"/>
      <color indexed="8"/>
      <name val="B Nazanin"/>
      <charset val="178"/>
    </font>
    <font>
      <b/>
      <sz val="11"/>
      <color rgb="FF000000"/>
      <name val="B Nazanin"/>
      <charset val="178"/>
    </font>
    <font>
      <b/>
      <sz val="11"/>
      <name val="B Nazanin"/>
      <charset val="178"/>
    </font>
    <font>
      <sz val="8"/>
      <name val="Arial"/>
      <family val="2"/>
      <scheme val="minor"/>
    </font>
    <font>
      <sz val="12"/>
      <color rgb="FF000000"/>
      <name val="B Nazanin"/>
      <charset val="178"/>
    </font>
    <font>
      <b/>
      <sz val="11"/>
      <color indexed="8"/>
      <name val="B Nazanin"/>
      <charset val="178"/>
    </font>
    <font>
      <b/>
      <sz val="12"/>
      <color indexed="8"/>
      <name val="B Nazanin"/>
      <charset val="178"/>
    </font>
    <font>
      <sz val="11"/>
      <color rgb="FF000000"/>
      <name val="B Nazanin"/>
      <charset val="178"/>
    </font>
    <font>
      <sz val="10"/>
      <color rgb="FF000000"/>
      <name val="B Nazanin"/>
      <charset val="178"/>
    </font>
    <font>
      <sz val="11"/>
      <color rgb="FF9C0006"/>
      <name val="Arial"/>
      <family val="2"/>
      <charset val="178"/>
      <scheme val="minor"/>
    </font>
    <font>
      <sz val="14"/>
      <name val="B Nazanin"/>
      <charset val="178"/>
    </font>
    <font>
      <sz val="14"/>
      <color indexed="8"/>
      <name val="Arial"/>
      <family val="2"/>
      <scheme val="minor"/>
    </font>
    <font>
      <sz val="10"/>
      <color rgb="FF000000"/>
      <name val="Arial"/>
      <family val="2"/>
    </font>
    <font>
      <b/>
      <sz val="15"/>
      <color rgb="FF000000"/>
      <name val="B Nazanin"/>
      <charset val="178"/>
    </font>
    <font>
      <b/>
      <sz val="12"/>
      <color rgb="FF000000"/>
      <name val="B Nazanin"/>
      <charset val="178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  <fill>
      <patternFill patternType="darkDown"/>
    </fill>
    <fill>
      <patternFill patternType="darkUp"/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7">
    <xf numFmtId="0" fontId="0" fillId="0" borderId="0"/>
    <xf numFmtId="0" fontId="6" fillId="2" borderId="0"/>
    <xf numFmtId="0" fontId="1" fillId="2" borderId="0"/>
    <xf numFmtId="166" fontId="7" fillId="2" borderId="0" applyFont="0" applyFill="0" applyBorder="0" applyAlignment="0" applyProtection="0"/>
    <xf numFmtId="164" fontId="1" fillId="2" borderId="0" applyFont="0" applyFill="0" applyBorder="0" applyAlignment="0" applyProtection="0"/>
    <xf numFmtId="9" fontId="1" fillId="2" borderId="0" applyFont="0" applyFill="0" applyBorder="0" applyAlignment="0" applyProtection="0"/>
    <xf numFmtId="164" fontId="1" fillId="2" borderId="0" applyFont="0" applyFill="0" applyBorder="0" applyAlignment="0" applyProtection="0"/>
    <xf numFmtId="0" fontId="6" fillId="2" borderId="0"/>
    <xf numFmtId="0" fontId="6" fillId="2" borderId="0"/>
    <xf numFmtId="0" fontId="6" fillId="2" borderId="0"/>
    <xf numFmtId="0" fontId="6" fillId="2" borderId="0"/>
    <xf numFmtId="43" fontId="6" fillId="0" borderId="0" applyFont="0" applyFill="0" applyBorder="0" applyAlignment="0" applyProtection="0"/>
    <xf numFmtId="0" fontId="7" fillId="2" borderId="0"/>
    <xf numFmtId="0" fontId="6" fillId="2" borderId="0"/>
    <xf numFmtId="0" fontId="7" fillId="2" borderId="0"/>
    <xf numFmtId="0" fontId="35" fillId="6" borderId="0" applyNumberFormat="0" applyBorder="0" applyAlignment="0" applyProtection="0"/>
    <xf numFmtId="0" fontId="38" fillId="2" borderId="0"/>
  </cellStyleXfs>
  <cellXfs count="401">
    <xf numFmtId="0" fontId="0" fillId="0" borderId="0" xfId="0"/>
    <xf numFmtId="0" fontId="8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/>
    </xf>
    <xf numFmtId="37" fontId="9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horizontal="center" vertical="center" wrapText="1"/>
    </xf>
    <xf numFmtId="37" fontId="10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7" fontId="9" fillId="0" borderId="3" xfId="0" applyNumberFormat="1" applyFont="1" applyBorder="1" applyAlignment="1">
      <alignment horizontal="center" vertical="center"/>
    </xf>
    <xf numFmtId="0" fontId="12" fillId="2" borderId="0" xfId="2" applyFont="1" applyAlignment="1">
      <alignment horizontal="center" vertical="center"/>
    </xf>
    <xf numFmtId="0" fontId="13" fillId="2" borderId="0" xfId="2" applyFont="1"/>
    <xf numFmtId="0" fontId="11" fillId="2" borderId="0" xfId="2" applyFont="1" applyAlignment="1">
      <alignment horizontal="center" vertical="center"/>
    </xf>
    <xf numFmtId="0" fontId="15" fillId="2" borderId="0" xfId="2" applyFont="1" applyAlignment="1">
      <alignment vertical="center" readingOrder="2"/>
    </xf>
    <xf numFmtId="0" fontId="15" fillId="2" borderId="0" xfId="2" applyFont="1" applyAlignment="1">
      <alignment horizontal="right" vertical="center" readingOrder="2"/>
    </xf>
    <xf numFmtId="0" fontId="12" fillId="2" borderId="0" xfId="2" applyFont="1" applyAlignment="1">
      <alignment horizontal="center" vertical="center" wrapText="1"/>
    </xf>
    <xf numFmtId="0" fontId="12" fillId="2" borderId="8" xfId="2" applyFont="1" applyBorder="1" applyAlignment="1">
      <alignment horizontal="center" vertical="center"/>
    </xf>
    <xf numFmtId="0" fontId="16" fillId="2" borderId="0" xfId="2" applyFont="1" applyAlignment="1">
      <alignment horizontal="center" vertical="center"/>
    </xf>
    <xf numFmtId="0" fontId="13" fillId="2" borderId="0" xfId="2" applyFont="1" applyAlignment="1">
      <alignment horizontal="center"/>
    </xf>
    <xf numFmtId="0" fontId="13" fillId="2" borderId="0" xfId="2" applyFont="1" applyAlignment="1">
      <alignment horizontal="center" vertical="center"/>
    </xf>
    <xf numFmtId="167" fontId="13" fillId="2" borderId="0" xfId="3" applyNumberFormat="1" applyFont="1" applyBorder="1" applyAlignment="1">
      <alignment horizontal="center" vertical="center"/>
    </xf>
    <xf numFmtId="0" fontId="13" fillId="2" borderId="0" xfId="2" applyFont="1" applyAlignment="1">
      <alignment horizontal="center" vertical="center" wrapText="1"/>
    </xf>
    <xf numFmtId="0" fontId="12" fillId="2" borderId="0" xfId="2" applyFont="1" applyAlignment="1">
      <alignment horizontal="right" vertical="center" shrinkToFit="1" readingOrder="2"/>
    </xf>
    <xf numFmtId="49" fontId="16" fillId="2" borderId="0" xfId="2" applyNumberFormat="1" applyFont="1" applyAlignment="1">
      <alignment horizontal="center" vertical="center" shrinkToFit="1" readingOrder="2"/>
    </xf>
    <xf numFmtId="37" fontId="16" fillId="0" borderId="0" xfId="3" applyNumberFormat="1" applyFont="1" applyFill="1" applyAlignment="1">
      <alignment horizontal="center" vertical="center" shrinkToFit="1" readingOrder="2"/>
    </xf>
    <xf numFmtId="0" fontId="18" fillId="2" borderId="0" xfId="2" applyFont="1" applyAlignment="1">
      <alignment horizontal="center" vertical="center"/>
    </xf>
    <xf numFmtId="4" fontId="18" fillId="0" borderId="0" xfId="5" applyNumberFormat="1" applyFont="1" applyFill="1" applyAlignment="1">
      <alignment horizontal="center" vertical="center" readingOrder="2"/>
    </xf>
    <xf numFmtId="0" fontId="15" fillId="2" borderId="0" xfId="2" applyFont="1" applyAlignment="1">
      <alignment vertical="center" shrinkToFit="1" readingOrder="2"/>
    </xf>
    <xf numFmtId="168" fontId="18" fillId="0" borderId="0" xfId="4" applyNumberFormat="1" applyFont="1" applyFill="1" applyAlignment="1">
      <alignment horizontal="center" vertical="center" readingOrder="2"/>
    </xf>
    <xf numFmtId="168" fontId="19" fillId="2" borderId="0" xfId="4" applyNumberFormat="1" applyFont="1" applyAlignment="1">
      <alignment horizontal="center" vertical="center" readingOrder="2"/>
    </xf>
    <xf numFmtId="37" fontId="16" fillId="2" borderId="0" xfId="3" applyNumberFormat="1" applyFont="1" applyFill="1" applyAlignment="1">
      <alignment horizontal="center" vertical="center" shrinkToFit="1" readingOrder="2"/>
    </xf>
    <xf numFmtId="169" fontId="16" fillId="2" borderId="0" xfId="3" applyNumberFormat="1" applyFont="1" applyFill="1" applyAlignment="1">
      <alignment horizontal="center" vertical="center" shrinkToFit="1" readingOrder="2"/>
    </xf>
    <xf numFmtId="3" fontId="13" fillId="2" borderId="0" xfId="2" applyNumberFormat="1" applyFont="1"/>
    <xf numFmtId="0" fontId="16" fillId="2" borderId="0" xfId="2" applyFont="1" applyAlignment="1">
      <alignment horizontal="right" vertical="center" shrinkToFit="1" readingOrder="2"/>
    </xf>
    <xf numFmtId="37" fontId="12" fillId="0" borderId="9" xfId="3" applyNumberFormat="1" applyFont="1" applyFill="1" applyBorder="1" applyAlignment="1">
      <alignment horizontal="center" vertical="center" shrinkToFit="1" readingOrder="2"/>
    </xf>
    <xf numFmtId="37" fontId="16" fillId="0" borderId="0" xfId="4" applyNumberFormat="1" applyFont="1" applyFill="1" applyAlignment="1">
      <alignment horizontal="center" vertical="center" shrinkToFit="1"/>
    </xf>
    <xf numFmtId="4" fontId="18" fillId="0" borderId="9" xfId="5" applyNumberFormat="1" applyFont="1" applyFill="1" applyBorder="1" applyAlignment="1">
      <alignment horizontal="center" vertical="center" readingOrder="2"/>
    </xf>
    <xf numFmtId="0" fontId="16" fillId="2" borderId="0" xfId="2" applyFont="1" applyAlignment="1">
      <alignment horizontal="right" vertical="center" shrinkToFit="1"/>
    </xf>
    <xf numFmtId="0" fontId="16" fillId="2" borderId="0" xfId="2" applyFont="1" applyAlignment="1">
      <alignment shrinkToFit="1"/>
    </xf>
    <xf numFmtId="167" fontId="13" fillId="2" borderId="0" xfId="3" applyNumberFormat="1" applyFont="1"/>
    <xf numFmtId="168" fontId="18" fillId="0" borderId="0" xfId="4" applyNumberFormat="1" applyFont="1" applyFill="1" applyBorder="1" applyAlignment="1">
      <alignment horizontal="center" vertical="center" readingOrder="2"/>
    </xf>
    <xf numFmtId="0" fontId="13" fillId="2" borderId="0" xfId="2" applyFont="1" applyAlignment="1">
      <alignment horizontal="right" vertical="center"/>
    </xf>
    <xf numFmtId="168" fontId="19" fillId="2" borderId="0" xfId="6" applyNumberFormat="1" applyFont="1" applyFill="1" applyBorder="1" applyAlignment="1">
      <alignment horizontal="center" vertical="center" readingOrder="2"/>
    </xf>
    <xf numFmtId="168" fontId="13" fillId="2" borderId="0" xfId="2" applyNumberFormat="1" applyFont="1"/>
    <xf numFmtId="37" fontId="16" fillId="2" borderId="0" xfId="4" applyNumberFormat="1" applyFont="1" applyFill="1" applyAlignment="1">
      <alignment horizontal="center" vertical="center" shrinkToFit="1" readingOrder="2"/>
    </xf>
    <xf numFmtId="37" fontId="13" fillId="2" borderId="0" xfId="2" applyNumberFormat="1" applyFont="1"/>
    <xf numFmtId="167" fontId="20" fillId="2" borderId="0" xfId="3" applyNumberFormat="1" applyFont="1"/>
    <xf numFmtId="0" fontId="17" fillId="0" borderId="0" xfId="0" applyFont="1"/>
    <xf numFmtId="0" fontId="17" fillId="2" borderId="0" xfId="0" applyFont="1" applyFill="1"/>
    <xf numFmtId="37" fontId="10" fillId="0" borderId="0" xfId="0" applyNumberFormat="1" applyFont="1" applyAlignment="1">
      <alignment horizontal="center" vertical="center"/>
    </xf>
    <xf numFmtId="37" fontId="17" fillId="0" borderId="0" xfId="0" applyNumberFormat="1" applyFont="1"/>
    <xf numFmtId="37" fontId="9" fillId="0" borderId="4" xfId="0" applyNumberFormat="1" applyFont="1" applyBorder="1" applyAlignment="1">
      <alignment horizontal="center" vertical="center"/>
    </xf>
    <xf numFmtId="173" fontId="17" fillId="0" borderId="0" xfId="0" applyNumberFormat="1" applyFont="1"/>
    <xf numFmtId="171" fontId="17" fillId="0" borderId="0" xfId="0" applyNumberFormat="1" applyFont="1"/>
    <xf numFmtId="37" fontId="10" fillId="0" borderId="1" xfId="0" applyNumberFormat="1" applyFont="1" applyBorder="1" applyAlignment="1">
      <alignment horizontal="center" vertical="center" wrapText="1"/>
    </xf>
    <xf numFmtId="37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3" fontId="17" fillId="0" borderId="0" xfId="0" applyNumberFormat="1" applyFont="1"/>
    <xf numFmtId="0" fontId="24" fillId="0" borderId="0" xfId="0" applyFont="1"/>
    <xf numFmtId="37" fontId="10" fillId="0" borderId="0" xfId="0" applyNumberFormat="1" applyFont="1" applyAlignment="1">
      <alignment horizontal="center" vertical="center" wrapText="1"/>
    </xf>
    <xf numFmtId="165" fontId="9" fillId="0" borderId="7" xfId="0" applyNumberFormat="1" applyFont="1" applyBorder="1" applyAlignment="1">
      <alignment horizontal="center" vertical="center"/>
    </xf>
    <xf numFmtId="165" fontId="17" fillId="0" borderId="0" xfId="0" applyNumberFormat="1" applyFont="1"/>
    <xf numFmtId="170" fontId="9" fillId="0" borderId="7" xfId="0" applyNumberFormat="1" applyFont="1" applyBorder="1" applyAlignment="1">
      <alignment horizontal="center" vertical="center"/>
    </xf>
    <xf numFmtId="0" fontId="17" fillId="0" borderId="0" xfId="7" applyFont="1" applyFill="1"/>
    <xf numFmtId="37" fontId="10" fillId="0" borderId="0" xfId="7" applyNumberFormat="1" applyFont="1" applyFill="1" applyAlignment="1">
      <alignment horizontal="center" vertical="center"/>
    </xf>
    <xf numFmtId="37" fontId="10" fillId="0" borderId="1" xfId="7" applyNumberFormat="1" applyFont="1" applyFill="1" applyBorder="1" applyAlignment="1">
      <alignment horizontal="center" vertical="center" wrapText="1"/>
    </xf>
    <xf numFmtId="37" fontId="9" fillId="0" borderId="0" xfId="7" applyNumberFormat="1" applyFont="1" applyFill="1" applyAlignment="1">
      <alignment horizontal="center" vertical="center"/>
    </xf>
    <xf numFmtId="37" fontId="17" fillId="0" borderId="0" xfId="0" applyNumberFormat="1" applyFont="1" applyAlignment="1">
      <alignment horizontal="center" vertical="center" wrapText="1"/>
    </xf>
    <xf numFmtId="0" fontId="17" fillId="2" borderId="0" xfId="10" applyFont="1"/>
    <xf numFmtId="0" fontId="17" fillId="0" borderId="0" xfId="10" applyFont="1" applyFill="1"/>
    <xf numFmtId="37" fontId="10" fillId="0" borderId="0" xfId="10" applyNumberFormat="1" applyFont="1" applyFill="1" applyAlignment="1">
      <alignment vertical="center"/>
    </xf>
    <xf numFmtId="37" fontId="10" fillId="0" borderId="8" xfId="10" applyNumberFormat="1" applyFont="1" applyFill="1" applyBorder="1" applyAlignment="1">
      <alignment horizontal="center" vertical="center" wrapText="1"/>
    </xf>
    <xf numFmtId="0" fontId="27" fillId="0" borderId="8" xfId="10" applyFont="1" applyFill="1" applyBorder="1" applyAlignment="1">
      <alignment horizontal="center" vertical="center" wrapText="1"/>
    </xf>
    <xf numFmtId="0" fontId="27" fillId="0" borderId="0" xfId="10" applyFont="1" applyFill="1" applyAlignment="1">
      <alignment horizontal="center" vertical="center" wrapText="1"/>
    </xf>
    <xf numFmtId="0" fontId="27" fillId="0" borderId="10" xfId="10" applyFont="1" applyFill="1" applyBorder="1" applyAlignment="1">
      <alignment horizontal="center" vertical="center" wrapText="1"/>
    </xf>
    <xf numFmtId="37" fontId="9" fillId="2" borderId="0" xfId="10" applyNumberFormat="1" applyFont="1" applyAlignment="1">
      <alignment horizontal="center" vertical="center"/>
    </xf>
    <xf numFmtId="0" fontId="17" fillId="2" borderId="0" xfId="8" applyFont="1"/>
    <xf numFmtId="0" fontId="24" fillId="2" borderId="0" xfId="8" applyFont="1"/>
    <xf numFmtId="37" fontId="10" fillId="2" borderId="8" xfId="8" applyNumberFormat="1" applyFont="1" applyBorder="1" applyAlignment="1">
      <alignment horizontal="center" vertical="center"/>
    </xf>
    <xf numFmtId="37" fontId="28" fillId="2" borderId="8" xfId="8" applyNumberFormat="1" applyFont="1" applyBorder="1" applyAlignment="1">
      <alignment horizontal="center" vertical="center" wrapText="1"/>
    </xf>
    <xf numFmtId="37" fontId="22" fillId="2" borderId="0" xfId="8" applyNumberFormat="1" applyFont="1" applyAlignment="1">
      <alignment horizontal="center" vertical="center" wrapText="1"/>
    </xf>
    <xf numFmtId="0" fontId="17" fillId="2" borderId="0" xfId="8" applyFont="1" applyAlignment="1">
      <alignment vertical="center"/>
    </xf>
    <xf numFmtId="165" fontId="9" fillId="0" borderId="0" xfId="8" applyNumberFormat="1" applyFont="1" applyFill="1" applyAlignment="1">
      <alignment horizontal="center" vertical="center"/>
    </xf>
    <xf numFmtId="3" fontId="17" fillId="2" borderId="0" xfId="8" applyNumberFormat="1" applyFont="1" applyAlignment="1">
      <alignment vertical="center"/>
    </xf>
    <xf numFmtId="3" fontId="17" fillId="2" borderId="0" xfId="8" applyNumberFormat="1" applyFont="1"/>
    <xf numFmtId="3" fontId="9" fillId="0" borderId="0" xfId="0" applyNumberFormat="1" applyFont="1" applyAlignment="1">
      <alignment vertical="center" shrinkToFit="1"/>
    </xf>
    <xf numFmtId="3" fontId="26" fillId="0" borderId="0" xfId="0" applyNumberFormat="1" applyFont="1" applyAlignment="1">
      <alignment vertical="center" shrinkToFit="1"/>
    </xf>
    <xf numFmtId="175" fontId="9" fillId="0" borderId="0" xfId="0" applyNumberFormat="1" applyFont="1" applyAlignment="1">
      <alignment horizontal="center" vertical="center" shrinkToFit="1"/>
    </xf>
    <xf numFmtId="175" fontId="17" fillId="0" borderId="0" xfId="0" applyNumberFormat="1" applyFont="1" applyAlignment="1">
      <alignment shrinkToFit="1"/>
    </xf>
    <xf numFmtId="175" fontId="9" fillId="0" borderId="3" xfId="0" applyNumberFormat="1" applyFont="1" applyBorder="1" applyAlignment="1">
      <alignment horizontal="center" vertical="center" shrinkToFit="1"/>
    </xf>
    <xf numFmtId="176" fontId="9" fillId="0" borderId="0" xfId="0" applyNumberFormat="1" applyFont="1" applyAlignment="1">
      <alignment horizontal="center" vertical="center" shrinkToFit="1"/>
    </xf>
    <xf numFmtId="176" fontId="17" fillId="0" borderId="0" xfId="0" applyNumberFormat="1" applyFont="1" applyAlignment="1">
      <alignment shrinkToFit="1"/>
    </xf>
    <xf numFmtId="175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5" fontId="17" fillId="0" borderId="0" xfId="0" applyNumberFormat="1" applyFont="1"/>
    <xf numFmtId="175" fontId="9" fillId="0" borderId="7" xfId="0" applyNumberFormat="1" applyFont="1" applyBorder="1" applyAlignment="1">
      <alignment horizontal="center" vertical="center"/>
    </xf>
    <xf numFmtId="176" fontId="17" fillId="0" borderId="0" xfId="0" applyNumberFormat="1" applyFont="1"/>
    <xf numFmtId="176" fontId="10" fillId="0" borderId="1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/>
    </xf>
    <xf numFmtId="174" fontId="9" fillId="0" borderId="3" xfId="0" applyNumberFormat="1" applyFont="1" applyBorder="1" applyAlignment="1">
      <alignment horizontal="center" vertical="center"/>
    </xf>
    <xf numFmtId="174" fontId="9" fillId="0" borderId="0" xfId="0" applyNumberFormat="1" applyFont="1" applyAlignment="1">
      <alignment horizontal="center" vertical="center"/>
    </xf>
    <xf numFmtId="174" fontId="17" fillId="0" borderId="0" xfId="0" applyNumberFormat="1" applyFont="1"/>
    <xf numFmtId="174" fontId="9" fillId="0" borderId="7" xfId="0" applyNumberFormat="1" applyFont="1" applyBorder="1" applyAlignment="1">
      <alignment horizontal="center" vertical="center"/>
    </xf>
    <xf numFmtId="37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8" applyFont="1" applyFill="1" applyAlignment="1">
      <alignment vertical="center"/>
    </xf>
    <xf numFmtId="3" fontId="17" fillId="2" borderId="0" xfId="10" applyNumberFormat="1" applyFont="1"/>
    <xf numFmtId="4" fontId="17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 vertical="center"/>
    </xf>
    <xf numFmtId="39" fontId="9" fillId="0" borderId="3" xfId="0" applyNumberFormat="1" applyFont="1" applyBorder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4" fontId="9" fillId="3" borderId="0" xfId="0" applyNumberFormat="1" applyFont="1" applyFill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2" fillId="0" borderId="1" xfId="0" applyNumberFormat="1" applyFont="1" applyBorder="1" applyAlignment="1">
      <alignment horizontal="center" vertical="center" wrapText="1"/>
    </xf>
    <xf numFmtId="174" fontId="17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horizontal="center" vertical="center" shrinkToFit="1"/>
    </xf>
    <xf numFmtId="37" fontId="5" fillId="0" borderId="1" xfId="0" applyNumberFormat="1" applyFont="1" applyBorder="1" applyAlignment="1">
      <alignment horizontal="center" vertical="center" wrapText="1"/>
    </xf>
    <xf numFmtId="37" fontId="2" fillId="0" borderId="0" xfId="0" applyNumberFormat="1" applyFont="1" applyAlignment="1">
      <alignment horizontal="right" vertical="center"/>
    </xf>
    <xf numFmtId="174" fontId="9" fillId="0" borderId="0" xfId="8" applyNumberFormat="1" applyFont="1" applyFill="1" applyAlignment="1">
      <alignment horizontal="center" vertical="center"/>
    </xf>
    <xf numFmtId="174" fontId="17" fillId="2" borderId="0" xfId="8" applyNumberFormat="1" applyFont="1" applyAlignment="1">
      <alignment vertical="center"/>
    </xf>
    <xf numFmtId="174" fontId="9" fillId="2" borderId="7" xfId="8" applyNumberFormat="1" applyFont="1" applyBorder="1" applyAlignment="1">
      <alignment horizontal="center" vertical="center"/>
    </xf>
    <xf numFmtId="174" fontId="17" fillId="2" borderId="0" xfId="8" applyNumberFormat="1" applyFont="1"/>
    <xf numFmtId="174" fontId="9" fillId="2" borderId="4" xfId="8" applyNumberFormat="1" applyFont="1" applyBorder="1" applyAlignment="1">
      <alignment horizontal="center" vertical="center"/>
    </xf>
    <xf numFmtId="3" fontId="17" fillId="0" borderId="0" xfId="7" applyNumberFormat="1" applyFont="1" applyFill="1"/>
    <xf numFmtId="0" fontId="8" fillId="0" borderId="0" xfId="2" applyFont="1" applyFill="1" applyAlignment="1">
      <alignment horizontal="right" vertical="center" shrinkToFit="1" readingOrder="2"/>
    </xf>
    <xf numFmtId="0" fontId="17" fillId="0" borderId="0" xfId="2" applyFont="1" applyFill="1" applyAlignment="1">
      <alignment horizontal="right" vertical="center" shrinkToFit="1" readingOrder="2"/>
    </xf>
    <xf numFmtId="0" fontId="13" fillId="0" borderId="0" xfId="2" applyFont="1" applyFill="1"/>
    <xf numFmtId="178" fontId="13" fillId="2" borderId="0" xfId="2" applyNumberFormat="1" applyFont="1"/>
    <xf numFmtId="37" fontId="10" fillId="0" borderId="11" xfId="0" applyNumberFormat="1" applyFont="1" applyBorder="1" applyAlignment="1">
      <alignment horizontal="center" vertical="center"/>
    </xf>
    <xf numFmtId="37" fontId="25" fillId="0" borderId="0" xfId="0" applyNumberFormat="1" applyFont="1" applyAlignment="1">
      <alignment horizontal="right" vertical="center"/>
    </xf>
    <xf numFmtId="37" fontId="2" fillId="0" borderId="3" xfId="0" applyNumberFormat="1" applyFont="1" applyBorder="1" applyAlignment="1">
      <alignment horizontal="center" vertical="center"/>
    </xf>
    <xf numFmtId="0" fontId="23" fillId="0" borderId="0" xfId="0" applyFont="1"/>
    <xf numFmtId="0" fontId="26" fillId="0" borderId="0" xfId="0" applyFont="1"/>
    <xf numFmtId="0" fontId="2" fillId="0" borderId="0" xfId="0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31" fillId="0" borderId="0" xfId="0" applyFont="1"/>
    <xf numFmtId="0" fontId="5" fillId="0" borderId="0" xfId="0" applyFont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37" fontId="28" fillId="0" borderId="0" xfId="0" applyNumberFormat="1" applyFont="1" applyAlignment="1">
      <alignment horizontal="center" vertical="center"/>
    </xf>
    <xf numFmtId="0" fontId="32" fillId="0" borderId="0" xfId="0" applyFont="1"/>
    <xf numFmtId="39" fontId="9" fillId="0" borderId="0" xfId="0" applyNumberFormat="1" applyFont="1" applyAlignment="1">
      <alignment horizontal="center" vertical="center"/>
    </xf>
    <xf numFmtId="0" fontId="24" fillId="0" borderId="0" xfId="0" applyFont="1" applyAlignment="1">
      <alignment readingOrder="1"/>
    </xf>
    <xf numFmtId="37" fontId="26" fillId="0" borderId="0" xfId="0" applyNumberFormat="1" applyFont="1" applyAlignment="1">
      <alignment horizontal="center" vertical="center" wrapText="1"/>
    </xf>
    <xf numFmtId="174" fontId="26" fillId="0" borderId="0" xfId="0" applyNumberFormat="1" applyFont="1"/>
    <xf numFmtId="174" fontId="26" fillId="0" borderId="0" xfId="0" applyNumberFormat="1" applyFont="1" applyAlignment="1">
      <alignment horizontal="center" vertical="center" wrapText="1"/>
    </xf>
    <xf numFmtId="174" fontId="2" fillId="0" borderId="7" xfId="0" applyNumberFormat="1" applyFont="1" applyBorder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37" fontId="26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/>
    </xf>
    <xf numFmtId="37" fontId="2" fillId="0" borderId="0" xfId="0" applyNumberFormat="1" applyFont="1" applyAlignment="1">
      <alignment horizontal="right" vertical="center" wrapText="1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0" fillId="2" borderId="0" xfId="0" applyFont="1" applyFill="1" applyAlignment="1">
      <alignment horizontal="right" vertical="top"/>
    </xf>
    <xf numFmtId="0" fontId="17" fillId="0" borderId="11" xfId="0" applyFont="1" applyBorder="1"/>
    <xf numFmtId="174" fontId="0" fillId="0" borderId="0" xfId="0" applyNumberFormat="1" applyAlignment="1">
      <alignment horizontal="center" vertical="center"/>
    </xf>
    <xf numFmtId="175" fontId="30" fillId="2" borderId="0" xfId="0" applyNumberFormat="1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 shrinkToFit="1"/>
    </xf>
    <xf numFmtId="174" fontId="9" fillId="0" borderId="0" xfId="0" applyNumberFormat="1" applyFont="1" applyAlignment="1">
      <alignment horizontal="center" vertical="center" shrinkToFit="1"/>
    </xf>
    <xf numFmtId="174" fontId="17" fillId="0" borderId="0" xfId="0" applyNumberFormat="1" applyFont="1" applyAlignment="1">
      <alignment shrinkToFit="1"/>
    </xf>
    <xf numFmtId="174" fontId="9" fillId="0" borderId="7" xfId="0" applyNumberFormat="1" applyFont="1" applyBorder="1" applyAlignment="1">
      <alignment horizontal="center" vertical="center" shrinkToFit="1"/>
    </xf>
    <xf numFmtId="174" fontId="22" fillId="0" borderId="0" xfId="0" applyNumberFormat="1" applyFont="1" applyAlignment="1">
      <alignment horizontal="right" vertical="center" shrinkToFit="1"/>
    </xf>
    <xf numFmtId="177" fontId="9" fillId="0" borderId="7" xfId="0" applyNumberFormat="1" applyFont="1" applyBorder="1" applyAlignment="1">
      <alignment horizontal="center" vertical="center" shrinkToFit="1"/>
    </xf>
    <xf numFmtId="3" fontId="30" fillId="2" borderId="0" xfId="0" applyNumberFormat="1" applyFont="1" applyFill="1" applyAlignment="1">
      <alignment horizontal="center" vertical="top"/>
    </xf>
    <xf numFmtId="175" fontId="30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3" fontId="30" fillId="2" borderId="0" xfId="0" applyNumberFormat="1" applyFont="1" applyFill="1" applyAlignment="1">
      <alignment horizontal="center" vertical="center"/>
    </xf>
    <xf numFmtId="174" fontId="30" fillId="2" borderId="0" xfId="0" applyNumberFormat="1" applyFont="1" applyFill="1" applyAlignment="1">
      <alignment horizontal="center" vertical="center"/>
    </xf>
    <xf numFmtId="175" fontId="17" fillId="0" borderId="0" xfId="0" applyNumberFormat="1" applyFont="1" applyAlignment="1">
      <alignment vertical="center"/>
    </xf>
    <xf numFmtId="175" fontId="17" fillId="2" borderId="0" xfId="10" applyNumberFormat="1" applyFont="1" applyAlignment="1">
      <alignment vertical="center"/>
    </xf>
    <xf numFmtId="174" fontId="17" fillId="0" borderId="0" xfId="7" applyNumberFormat="1" applyFont="1" applyFill="1"/>
    <xf numFmtId="3" fontId="2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/>
    </xf>
    <xf numFmtId="37" fontId="21" fillId="2" borderId="0" xfId="8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3" fontId="2" fillId="4" borderId="7" xfId="0" applyNumberFormat="1" applyFont="1" applyFill="1" applyBorder="1" applyAlignment="1">
      <alignment horizontal="right" vertical="center" shrinkToFit="1"/>
    </xf>
    <xf numFmtId="3" fontId="9" fillId="4" borderId="7" xfId="0" applyNumberFormat="1" applyFont="1" applyFill="1" applyBorder="1" applyAlignment="1">
      <alignment vertical="center" shrinkToFit="1"/>
    </xf>
    <xf numFmtId="174" fontId="30" fillId="2" borderId="7" xfId="0" applyNumberFormat="1" applyFont="1" applyFill="1" applyBorder="1" applyAlignment="1">
      <alignment horizontal="center" vertical="center"/>
    </xf>
    <xf numFmtId="0" fontId="17" fillId="0" borderId="16" xfId="0" applyFont="1" applyBorder="1"/>
    <xf numFmtId="175" fontId="30" fillId="5" borderId="7" xfId="0" applyNumberFormat="1" applyFont="1" applyFill="1" applyBorder="1" applyAlignment="1">
      <alignment horizontal="right" vertical="center"/>
    </xf>
    <xf numFmtId="37" fontId="2" fillId="0" borderId="0" xfId="0" applyNumberFormat="1" applyFont="1" applyAlignment="1">
      <alignment horizontal="center" vertical="center" shrinkToFit="1"/>
    </xf>
    <xf numFmtId="174" fontId="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shrinkToFit="1"/>
    </xf>
    <xf numFmtId="4" fontId="2" fillId="0" borderId="7" xfId="0" applyNumberFormat="1" applyFont="1" applyBorder="1" applyAlignment="1">
      <alignment horizontal="center" vertical="center" shrinkToFit="1"/>
    </xf>
    <xf numFmtId="0" fontId="8" fillId="0" borderId="0" xfId="0" applyFont="1"/>
    <xf numFmtId="175" fontId="17" fillId="0" borderId="7" xfId="0" applyNumberFormat="1" applyFont="1" applyBorder="1" applyAlignment="1">
      <alignment horizontal="center"/>
    </xf>
    <xf numFmtId="3" fontId="8" fillId="0" borderId="0" xfId="0" applyNumberFormat="1" applyFont="1"/>
    <xf numFmtId="0" fontId="26" fillId="0" borderId="0" xfId="0" applyFont="1" applyAlignment="1">
      <alignment horizontal="right" vertical="center" wrapText="1" shrinkToFit="1"/>
    </xf>
    <xf numFmtId="0" fontId="17" fillId="2" borderId="16" xfId="0" applyFont="1" applyFill="1" applyBorder="1"/>
    <xf numFmtId="37" fontId="26" fillId="0" borderId="16" xfId="0" applyNumberFormat="1" applyFont="1" applyBorder="1" applyAlignment="1">
      <alignment horizontal="center" vertical="center" wrapText="1"/>
    </xf>
    <xf numFmtId="37" fontId="26" fillId="0" borderId="11" xfId="0" applyNumberFormat="1" applyFont="1" applyBorder="1" applyAlignment="1">
      <alignment horizontal="center" vertical="center" wrapText="1"/>
    </xf>
    <xf numFmtId="0" fontId="34" fillId="2" borderId="0" xfId="0" applyFont="1" applyFill="1" applyAlignment="1">
      <alignment vertical="center" wrapText="1"/>
    </xf>
    <xf numFmtId="175" fontId="0" fillId="0" borderId="0" xfId="0" applyNumberFormat="1" applyAlignment="1">
      <alignment horizontal="center" vertical="center"/>
    </xf>
    <xf numFmtId="0" fontId="30" fillId="2" borderId="0" xfId="0" applyFont="1" applyFill="1" applyAlignment="1">
      <alignment horizontal="right" vertical="center"/>
    </xf>
    <xf numFmtId="175" fontId="2" fillId="0" borderId="0" xfId="0" applyNumberFormat="1" applyFont="1" applyAlignment="1">
      <alignment horizontal="center" vertical="center" shrinkToFit="1"/>
    </xf>
    <xf numFmtId="175" fontId="17" fillId="0" borderId="0" xfId="0" applyNumberFormat="1" applyFont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4" fontId="9" fillId="0" borderId="0" xfId="0" applyNumberFormat="1" applyFont="1" applyAlignment="1">
      <alignment vertical="center"/>
    </xf>
    <xf numFmtId="174" fontId="0" fillId="0" borderId="0" xfId="0" applyNumberFormat="1" applyAlignment="1">
      <alignment vertical="center"/>
    </xf>
    <xf numFmtId="174" fontId="30" fillId="4" borderId="7" xfId="0" applyNumberFormat="1" applyFont="1" applyFill="1" applyBorder="1" applyAlignment="1">
      <alignment vertical="center"/>
    </xf>
    <xf numFmtId="174" fontId="30" fillId="2" borderId="7" xfId="0" applyNumberFormat="1" applyFont="1" applyFill="1" applyBorder="1" applyAlignment="1">
      <alignment vertical="center"/>
    </xf>
    <xf numFmtId="37" fontId="5" fillId="0" borderId="16" xfId="0" applyNumberFormat="1" applyFont="1" applyBorder="1" applyAlignment="1">
      <alignment horizontal="center" vertical="center" wrapText="1"/>
    </xf>
    <xf numFmtId="37" fontId="10" fillId="0" borderId="16" xfId="0" applyNumberFormat="1" applyFont="1" applyBorder="1" applyAlignment="1">
      <alignment horizontal="center" vertical="center"/>
    </xf>
    <xf numFmtId="37" fontId="10" fillId="0" borderId="16" xfId="0" applyNumberFormat="1" applyFont="1" applyBorder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37" fontId="9" fillId="0" borderId="3" xfId="7" applyNumberFormat="1" applyFont="1" applyFill="1" applyBorder="1" applyAlignment="1">
      <alignment horizontal="center" vertical="center"/>
    </xf>
    <xf numFmtId="175" fontId="17" fillId="2" borderId="0" xfId="10" applyNumberFormat="1" applyFont="1"/>
    <xf numFmtId="3" fontId="17" fillId="0" borderId="0" xfId="0" applyNumberFormat="1" applyFont="1" applyAlignment="1">
      <alignment horizontal="right"/>
    </xf>
    <xf numFmtId="3" fontId="2" fillId="0" borderId="7" xfId="0" applyNumberFormat="1" applyFont="1" applyBorder="1" applyAlignment="1">
      <alignment horizontal="center" vertical="center" shrinkToFit="1"/>
    </xf>
    <xf numFmtId="3" fontId="24" fillId="0" borderId="0" xfId="0" applyNumberFormat="1" applyFont="1"/>
    <xf numFmtId="174" fontId="17" fillId="0" borderId="0" xfId="0" applyNumberFormat="1" applyFont="1" applyAlignment="1">
      <alignment horizontal="center" vertical="center" shrinkToFit="1"/>
    </xf>
    <xf numFmtId="176" fontId="9" fillId="0" borderId="7" xfId="0" applyNumberFormat="1" applyFont="1" applyBorder="1" applyAlignment="1">
      <alignment horizontal="center" vertical="center" shrinkToFit="1"/>
    </xf>
    <xf numFmtId="37" fontId="8" fillId="0" borderId="3" xfId="0" applyNumberFormat="1" applyFont="1" applyBorder="1" applyAlignment="1">
      <alignment horizontal="center" vertical="center" wrapText="1"/>
    </xf>
    <xf numFmtId="37" fontId="9" fillId="0" borderId="3" xfId="0" applyNumberFormat="1" applyFont="1" applyBorder="1" applyAlignment="1">
      <alignment horizontal="center" vertical="center" wrapText="1"/>
    </xf>
    <xf numFmtId="3" fontId="23" fillId="0" borderId="0" xfId="0" applyNumberFormat="1" applyFont="1"/>
    <xf numFmtId="0" fontId="35" fillId="6" borderId="0" xfId="15" applyAlignment="1">
      <alignment vertical="center"/>
    </xf>
    <xf numFmtId="0" fontId="0" fillId="0" borderId="0" xfId="0" applyAlignment="1">
      <alignment horizontal="center" vertical="center" shrinkToFit="1"/>
    </xf>
    <xf numFmtId="175" fontId="0" fillId="0" borderId="0" xfId="0" applyNumberFormat="1" applyAlignment="1">
      <alignment horizontal="center" vertical="center" shrinkToFit="1"/>
    </xf>
    <xf numFmtId="4" fontId="9" fillId="0" borderId="0" xfId="0" applyNumberFormat="1" applyFont="1" applyAlignment="1">
      <alignment horizontal="center" vertical="center" shrinkToFit="1"/>
    </xf>
    <xf numFmtId="3" fontId="30" fillId="2" borderId="0" xfId="0" applyNumberFormat="1" applyFont="1" applyFill="1" applyAlignment="1">
      <alignment horizontal="center" vertical="center" shrinkToFit="1"/>
    </xf>
    <xf numFmtId="175" fontId="30" fillId="2" borderId="0" xfId="0" applyNumberFormat="1" applyFont="1" applyFill="1" applyAlignment="1">
      <alignment horizontal="center" vertical="center" shrinkToFit="1"/>
    </xf>
    <xf numFmtId="3" fontId="36" fillId="0" borderId="7" xfId="0" applyNumberFormat="1" applyFont="1" applyBorder="1" applyAlignment="1">
      <alignment horizontal="center" vertical="center" shrinkToFit="1"/>
    </xf>
    <xf numFmtId="3" fontId="36" fillId="4" borderId="7" xfId="0" applyNumberFormat="1" applyFont="1" applyFill="1" applyBorder="1" applyAlignment="1">
      <alignment horizontal="center" vertical="center" shrinkToFit="1"/>
    </xf>
    <xf numFmtId="174" fontId="36" fillId="0" borderId="7" xfId="0" applyNumberFormat="1" applyFont="1" applyBorder="1" applyAlignment="1">
      <alignment horizontal="center" vertical="center" shrinkToFit="1"/>
    </xf>
    <xf numFmtId="37" fontId="36" fillId="0" borderId="0" xfId="0" applyNumberFormat="1" applyFont="1" applyAlignment="1">
      <alignment horizontal="center" vertical="center" shrinkToFit="1"/>
    </xf>
    <xf numFmtId="4" fontId="36" fillId="0" borderId="7" xfId="0" applyNumberFormat="1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/>
    </xf>
    <xf numFmtId="174" fontId="26" fillId="0" borderId="0" xfId="0" applyNumberFormat="1" applyFont="1" applyAlignment="1">
      <alignment horizontal="center" vertical="center"/>
    </xf>
    <xf numFmtId="0" fontId="17" fillId="0" borderId="0" xfId="7" applyFont="1" applyFill="1" applyAlignment="1">
      <alignment horizontal="center" vertical="center"/>
    </xf>
    <xf numFmtId="175" fontId="17" fillId="0" borderId="0" xfId="7" applyNumberFormat="1" applyFont="1" applyFill="1"/>
    <xf numFmtId="3" fontId="1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3" fontId="2" fillId="4" borderId="7" xfId="0" applyNumberFormat="1" applyFont="1" applyFill="1" applyBorder="1" applyAlignment="1">
      <alignment horizontal="center" vertical="center" shrinkToFit="1"/>
    </xf>
    <xf numFmtId="3" fontId="9" fillId="4" borderId="7" xfId="0" applyNumberFormat="1" applyFont="1" applyFill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175" fontId="30" fillId="5" borderId="7" xfId="0" applyNumberFormat="1" applyFont="1" applyFill="1" applyBorder="1" applyAlignment="1">
      <alignment horizontal="center" vertical="center"/>
    </xf>
    <xf numFmtId="175" fontId="30" fillId="2" borderId="7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center"/>
    </xf>
    <xf numFmtId="37" fontId="17" fillId="0" borderId="0" xfId="0" applyNumberFormat="1" applyFont="1" applyAlignment="1">
      <alignment horizontal="center"/>
    </xf>
    <xf numFmtId="0" fontId="17" fillId="0" borderId="0" xfId="0" applyFont="1"/>
    <xf numFmtId="3" fontId="30" fillId="2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right"/>
    </xf>
    <xf numFmtId="3" fontId="17" fillId="0" borderId="0" xfId="0" applyNumberFormat="1" applyFont="1" applyAlignment="1">
      <alignment horizontal="right" vertical="center"/>
    </xf>
    <xf numFmtId="174" fontId="30" fillId="2" borderId="0" xfId="0" applyNumberFormat="1" applyFont="1" applyFill="1" applyAlignment="1">
      <alignment vertical="center"/>
    </xf>
    <xf numFmtId="174" fontId="30" fillId="2" borderId="0" xfId="0" applyNumberFormat="1" applyFont="1" applyFill="1" applyAlignment="1">
      <alignment horizontal="right" vertical="center"/>
    </xf>
    <xf numFmtId="37" fontId="9" fillId="0" borderId="0" xfId="0" applyNumberFormat="1" applyFont="1" applyAlignment="1">
      <alignment vertical="center" wrapText="1"/>
    </xf>
    <xf numFmtId="0" fontId="17" fillId="0" borderId="0" xfId="0" applyFont="1" applyAlignment="1"/>
    <xf numFmtId="3" fontId="30" fillId="2" borderId="0" xfId="0" applyNumberFormat="1" applyFont="1" applyFill="1" applyAlignment="1">
      <alignment vertical="center"/>
    </xf>
    <xf numFmtId="37" fontId="9" fillId="0" borderId="0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174" fontId="17" fillId="0" borderId="0" xfId="0" applyNumberFormat="1" applyFont="1" applyAlignment="1">
      <alignment vertical="center"/>
    </xf>
    <xf numFmtId="174" fontId="26" fillId="0" borderId="0" xfId="0" applyNumberFormat="1" applyFont="1" applyAlignment="1">
      <alignment vertical="center" wrapText="1"/>
    </xf>
    <xf numFmtId="165" fontId="9" fillId="0" borderId="0" xfId="8" applyNumberFormat="1" applyFont="1" applyFill="1" applyAlignment="1">
      <alignment horizontal="right" vertical="center"/>
    </xf>
    <xf numFmtId="174" fontId="9" fillId="0" borderId="0" xfId="8" applyNumberFormat="1" applyFont="1" applyFill="1" applyAlignment="1">
      <alignment horizontal="right" vertical="center"/>
    </xf>
    <xf numFmtId="174" fontId="9" fillId="0" borderId="0" xfId="0" applyNumberFormat="1" applyFont="1" applyAlignment="1">
      <alignment horizontal="right" vertical="center"/>
    </xf>
    <xf numFmtId="37" fontId="2" fillId="0" borderId="0" xfId="0" applyNumberFormat="1" applyFont="1" applyAlignment="1">
      <alignment horizontal="center" vertical="center" wrapText="1"/>
    </xf>
    <xf numFmtId="0" fontId="17" fillId="0" borderId="0" xfId="0" applyFont="1"/>
    <xf numFmtId="37" fontId="9" fillId="0" borderId="0" xfId="0" applyNumberFormat="1" applyFont="1" applyBorder="1" applyAlignment="1">
      <alignment horizontal="center" vertical="center"/>
    </xf>
    <xf numFmtId="37" fontId="5" fillId="0" borderId="14" xfId="0" applyNumberFormat="1" applyFont="1" applyBorder="1" applyAlignment="1">
      <alignment horizontal="center" vertical="center" wrapText="1"/>
    </xf>
    <xf numFmtId="175" fontId="9" fillId="0" borderId="0" xfId="0" applyNumberFormat="1" applyFont="1" applyBorder="1" applyAlignment="1">
      <alignment horizontal="center" vertical="center"/>
    </xf>
    <xf numFmtId="0" fontId="17" fillId="0" borderId="0" xfId="0" applyFont="1"/>
    <xf numFmtId="37" fontId="2" fillId="0" borderId="0" xfId="0" applyNumberFormat="1" applyFont="1" applyAlignment="1">
      <alignment horizontal="center" vertical="center" wrapText="1"/>
    </xf>
    <xf numFmtId="0" fontId="30" fillId="2" borderId="0" xfId="0" applyFont="1" applyFill="1" applyAlignment="1">
      <alignment vertical="top"/>
    </xf>
    <xf numFmtId="3" fontId="30" fillId="2" borderId="0" xfId="0" applyNumberFormat="1" applyFont="1" applyFill="1" applyBorder="1" applyAlignment="1">
      <alignment horizontal="center" vertical="top"/>
    </xf>
    <xf numFmtId="177" fontId="9" fillId="0" borderId="0" xfId="0" applyNumberFormat="1" applyFont="1" applyAlignment="1">
      <alignment horizontal="center" vertical="center"/>
    </xf>
    <xf numFmtId="177" fontId="30" fillId="2" borderId="0" xfId="0" applyNumberFormat="1" applyFont="1" applyFill="1" applyAlignment="1">
      <alignment horizontal="center" vertical="center"/>
    </xf>
    <xf numFmtId="39" fontId="17" fillId="0" borderId="0" xfId="0" applyNumberFormat="1" applyFont="1" applyAlignment="1">
      <alignment horizontal="center" vertical="center" wrapText="1"/>
    </xf>
    <xf numFmtId="175" fontId="9" fillId="0" borderId="7" xfId="0" applyNumberFormat="1" applyFont="1" applyBorder="1" applyAlignment="1">
      <alignment horizontal="right" vertical="center"/>
    </xf>
    <xf numFmtId="0" fontId="17" fillId="0" borderId="0" xfId="0" applyFont="1"/>
    <xf numFmtId="174" fontId="30" fillId="0" borderId="0" xfId="0" applyNumberFormat="1" applyFont="1" applyAlignment="1">
      <alignment horizontal="center" vertical="center"/>
    </xf>
    <xf numFmtId="175" fontId="9" fillId="0" borderId="0" xfId="0" applyNumberFormat="1" applyFont="1" applyFill="1" applyAlignment="1">
      <alignment horizontal="center" vertical="center" shrinkToFit="1"/>
    </xf>
    <xf numFmtId="37" fontId="28" fillId="0" borderId="0" xfId="0" applyNumberFormat="1" applyFont="1" applyBorder="1" applyAlignment="1">
      <alignment horizontal="center" vertical="center"/>
    </xf>
    <xf numFmtId="0" fontId="17" fillId="0" borderId="3" xfId="0" applyFont="1" applyBorder="1"/>
    <xf numFmtId="3" fontId="30" fillId="2" borderId="0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3" fontId="30" fillId="2" borderId="0" xfId="0" applyNumberFormat="1" applyFont="1" applyFill="1" applyBorder="1" applyAlignment="1">
      <alignment horizontal="center" vertical="center"/>
    </xf>
    <xf numFmtId="37" fontId="9" fillId="0" borderId="0" xfId="0" applyNumberFormat="1" applyFont="1" applyBorder="1" applyAlignment="1">
      <alignment horizontal="center" vertical="center" shrinkToFit="1"/>
    </xf>
    <xf numFmtId="4" fontId="9" fillId="0" borderId="0" xfId="0" applyNumberFormat="1" applyFont="1" applyBorder="1" applyAlignment="1">
      <alignment horizontal="center" vertical="center" shrinkToFit="1"/>
    </xf>
    <xf numFmtId="0" fontId="38" fillId="2" borderId="0" xfId="16" applyAlignment="1">
      <alignment horizontal="left"/>
    </xf>
    <xf numFmtId="0" fontId="40" fillId="2" borderId="12" xfId="16" applyFont="1" applyFill="1" applyBorder="1" applyAlignment="1">
      <alignment horizontal="center" vertical="center"/>
    </xf>
    <xf numFmtId="0" fontId="40" fillId="2" borderId="12" xfId="16" applyFont="1" applyFill="1" applyBorder="1" applyAlignment="1">
      <alignment horizontal="center" vertical="center" wrapText="1"/>
    </xf>
    <xf numFmtId="0" fontId="40" fillId="2" borderId="17" xfId="16" applyFont="1" applyFill="1" applyBorder="1" applyAlignment="1">
      <alignment horizontal="center" vertical="center" wrapText="1"/>
    </xf>
    <xf numFmtId="0" fontId="30" fillId="2" borderId="17" xfId="16" applyFont="1" applyFill="1" applyBorder="1" applyAlignment="1">
      <alignment horizontal="right" vertical="center"/>
    </xf>
    <xf numFmtId="0" fontId="38" fillId="2" borderId="0" xfId="16" applyAlignment="1">
      <alignment horizontal="left" vertical="center"/>
    </xf>
    <xf numFmtId="37" fontId="40" fillId="2" borderId="12" xfId="16" applyNumberFormat="1" applyFont="1" applyFill="1" applyBorder="1" applyAlignment="1">
      <alignment horizontal="center" vertical="center"/>
    </xf>
    <xf numFmtId="0" fontId="30" fillId="2" borderId="17" xfId="16" applyFont="1" applyFill="1" applyBorder="1" applyAlignment="1">
      <alignment horizontal="center" vertical="center"/>
    </xf>
    <xf numFmtId="0" fontId="38" fillId="2" borderId="0" xfId="16" applyAlignment="1">
      <alignment horizontal="center" vertical="center"/>
    </xf>
    <xf numFmtId="3" fontId="30" fillId="2" borderId="17" xfId="16" applyNumberFormat="1" applyFont="1" applyFill="1" applyBorder="1" applyAlignment="1">
      <alignment horizontal="center" vertical="center"/>
    </xf>
    <xf numFmtId="3" fontId="30" fillId="2" borderId="18" xfId="16" applyNumberFormat="1" applyFont="1" applyFill="1" applyBorder="1" applyAlignment="1">
      <alignment horizontal="center" vertical="center"/>
    </xf>
    <xf numFmtId="0" fontId="17" fillId="0" borderId="0" xfId="7" applyFont="1" applyFill="1"/>
    <xf numFmtId="172" fontId="17" fillId="0" borderId="0" xfId="11" applyNumberFormat="1" applyFont="1" applyFill="1"/>
    <xf numFmtId="0" fontId="13" fillId="2" borderId="0" xfId="2" applyFont="1" applyAlignment="1"/>
    <xf numFmtId="0" fontId="15" fillId="2" borderId="0" xfId="2" applyFont="1" applyAlignment="1">
      <alignment horizontal="right" readingOrder="2"/>
    </xf>
    <xf numFmtId="0" fontId="17" fillId="0" borderId="0" xfId="0" applyFont="1"/>
    <xf numFmtId="37" fontId="2" fillId="0" borderId="0" xfId="0" applyNumberFormat="1" applyFont="1" applyAlignment="1">
      <alignment horizontal="center" vertical="center" wrapText="1"/>
    </xf>
    <xf numFmtId="0" fontId="23" fillId="0" borderId="0" xfId="0" applyFont="1"/>
    <xf numFmtId="37" fontId="5" fillId="0" borderId="0" xfId="0" applyNumberFormat="1" applyFont="1" applyBorder="1" applyAlignment="1">
      <alignment horizontal="center" vertical="center"/>
    </xf>
    <xf numFmtId="0" fontId="30" fillId="2" borderId="0" xfId="0" applyFont="1" applyFill="1" applyBorder="1" applyAlignment="1">
      <alignment vertical="top"/>
    </xf>
    <xf numFmtId="174" fontId="30" fillId="0" borderId="0" xfId="0" applyNumberFormat="1" applyFont="1" applyBorder="1" applyAlignment="1">
      <alignment horizontal="center" vertical="center"/>
    </xf>
    <xf numFmtId="174" fontId="30" fillId="2" borderId="0" xfId="0" applyNumberFormat="1" applyFont="1" applyFill="1" applyBorder="1" applyAlignment="1">
      <alignment horizontal="center" vertical="center"/>
    </xf>
    <xf numFmtId="174" fontId="0" fillId="0" borderId="0" xfId="0" applyNumberFormat="1" applyBorder="1" applyAlignment="1">
      <alignment horizontal="center" vertical="center"/>
    </xf>
    <xf numFmtId="174" fontId="30" fillId="2" borderId="0" xfId="0" applyNumberFormat="1" applyFont="1" applyFill="1" applyBorder="1" applyAlignment="1">
      <alignment horizontal="right" vertical="center"/>
    </xf>
    <xf numFmtId="174" fontId="17" fillId="0" borderId="0" xfId="0" applyNumberFormat="1" applyFont="1" applyBorder="1" applyAlignment="1">
      <alignment horizontal="center" vertical="center" shrinkToFit="1"/>
    </xf>
    <xf numFmtId="177" fontId="9" fillId="0" borderId="0" xfId="0" applyNumberFormat="1" applyFont="1" applyBorder="1" applyAlignment="1">
      <alignment horizontal="center" vertical="center" shrinkToFit="1"/>
    </xf>
    <xf numFmtId="37" fontId="2" fillId="0" borderId="0" xfId="0" applyNumberFormat="1" applyFont="1" applyBorder="1" applyAlignment="1">
      <alignment horizontal="center" vertical="center"/>
    </xf>
    <xf numFmtId="0" fontId="17" fillId="2" borderId="0" xfId="0" applyFont="1" applyFill="1" applyBorder="1"/>
    <xf numFmtId="37" fontId="10" fillId="0" borderId="0" xfId="0" applyNumberFormat="1" applyFont="1" applyBorder="1" applyAlignment="1">
      <alignment horizontal="center" vertical="center" wrapText="1"/>
    </xf>
    <xf numFmtId="177" fontId="9" fillId="0" borderId="0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0" xfId="7" applyFont="1" applyFill="1"/>
    <xf numFmtId="0" fontId="0" fillId="0" borderId="0" xfId="0" applyBorder="1" applyAlignment="1">
      <alignment horizontal="center" vertical="center"/>
    </xf>
    <xf numFmtId="3" fontId="30" fillId="2" borderId="19" xfId="0" applyNumberFormat="1" applyFont="1" applyFill="1" applyBorder="1" applyAlignment="1">
      <alignment horizontal="center" vertical="center"/>
    </xf>
    <xf numFmtId="3" fontId="30" fillId="2" borderId="12" xfId="0" applyNumberFormat="1" applyFont="1" applyFill="1" applyBorder="1" applyAlignment="1">
      <alignment horizontal="center" vertical="center"/>
    </xf>
    <xf numFmtId="4" fontId="2" fillId="0" borderId="14" xfId="0" applyNumberFormat="1" applyFont="1" applyBorder="1" applyAlignment="1">
      <alignment horizontal="center" vertical="center"/>
    </xf>
    <xf numFmtId="37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74" fontId="9" fillId="0" borderId="0" xfId="0" applyNumberFormat="1" applyFont="1" applyFill="1" applyAlignment="1">
      <alignment horizontal="right" vertical="center"/>
    </xf>
    <xf numFmtId="37" fontId="3" fillId="0" borderId="0" xfId="0" applyNumberFormat="1" applyFont="1" applyAlignment="1">
      <alignment horizontal="center" vertical="center"/>
    </xf>
    <xf numFmtId="0" fontId="0" fillId="0" borderId="0" xfId="0"/>
    <xf numFmtId="37" fontId="4" fillId="0" borderId="0" xfId="0" applyNumberFormat="1" applyFont="1" applyAlignment="1">
      <alignment horizontal="center" vertical="center"/>
    </xf>
    <xf numFmtId="37" fontId="11" fillId="2" borderId="0" xfId="2" applyNumberFormat="1" applyFont="1" applyAlignment="1">
      <alignment horizontal="center" vertical="center"/>
    </xf>
    <xf numFmtId="0" fontId="11" fillId="2" borderId="0" xfId="2" applyFont="1" applyAlignment="1">
      <alignment horizontal="center" vertical="center"/>
    </xf>
    <xf numFmtId="0" fontId="14" fillId="2" borderId="0" xfId="2" applyFont="1" applyAlignment="1">
      <alignment horizontal="right" vertical="center" readingOrder="2"/>
    </xf>
    <xf numFmtId="0" fontId="12" fillId="2" borderId="0" xfId="2" applyFont="1" applyAlignment="1">
      <alignment horizontal="center" wrapText="1"/>
    </xf>
    <xf numFmtId="0" fontId="12" fillId="2" borderId="8" xfId="2" applyFont="1" applyBorder="1" applyAlignment="1">
      <alignment horizontal="center" wrapText="1"/>
    </xf>
    <xf numFmtId="167" fontId="12" fillId="2" borderId="0" xfId="3" applyNumberFormat="1" applyFont="1" applyBorder="1" applyAlignment="1">
      <alignment horizontal="center" wrapText="1"/>
    </xf>
    <xf numFmtId="167" fontId="12" fillId="2" borderId="8" xfId="3" applyNumberFormat="1" applyFont="1" applyBorder="1" applyAlignment="1">
      <alignment horizontal="center" wrapText="1"/>
    </xf>
    <xf numFmtId="37" fontId="5" fillId="0" borderId="1" xfId="0" applyNumberFormat="1" applyFont="1" applyBorder="1" applyAlignment="1">
      <alignment horizontal="center" vertical="center"/>
    </xf>
    <xf numFmtId="0" fontId="26" fillId="2" borderId="2" xfId="0" applyFont="1" applyFill="1" applyBorder="1"/>
    <xf numFmtId="0" fontId="26" fillId="2" borderId="1" xfId="0" applyFont="1" applyFill="1" applyBorder="1"/>
    <xf numFmtId="0" fontId="2" fillId="0" borderId="0" xfId="0" applyFont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6" fillId="0" borderId="1" xfId="0" applyFont="1" applyBorder="1"/>
    <xf numFmtId="37" fontId="21" fillId="0" borderId="0" xfId="0" applyNumberFormat="1" applyFont="1" applyAlignment="1">
      <alignment horizontal="center" vertical="center"/>
    </xf>
    <xf numFmtId="0" fontId="17" fillId="0" borderId="0" xfId="0" applyFont="1"/>
    <xf numFmtId="37" fontId="10" fillId="0" borderId="0" xfId="0" applyNumberFormat="1" applyFont="1" applyAlignment="1">
      <alignment horizontal="right" vertical="center"/>
    </xf>
    <xf numFmtId="37" fontId="25" fillId="0" borderId="0" xfId="0" applyNumberFormat="1" applyFont="1" applyAlignment="1">
      <alignment horizontal="right" vertical="center"/>
    </xf>
    <xf numFmtId="0" fontId="24" fillId="0" borderId="0" xfId="0" applyFont="1"/>
    <xf numFmtId="37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readingOrder="2"/>
    </xf>
    <xf numFmtId="37" fontId="10" fillId="0" borderId="1" xfId="0" applyNumberFormat="1" applyFont="1" applyBorder="1" applyAlignment="1">
      <alignment horizontal="center" vertical="center"/>
    </xf>
    <xf numFmtId="0" fontId="17" fillId="2" borderId="2" xfId="0" applyFont="1" applyFill="1" applyBorder="1"/>
    <xf numFmtId="0" fontId="17" fillId="2" borderId="1" xfId="0" applyFont="1" applyFill="1" applyBorder="1"/>
    <xf numFmtId="0" fontId="28" fillId="0" borderId="0" xfId="0" applyFont="1" applyAlignment="1">
      <alignment horizontal="center" vertical="center"/>
    </xf>
    <xf numFmtId="37" fontId="28" fillId="0" borderId="0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1" fillId="0" borderId="1" xfId="0" applyFont="1" applyBorder="1"/>
    <xf numFmtId="37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Border="1" applyAlignment="1">
      <alignment horizontal="center" vertical="center"/>
    </xf>
    <xf numFmtId="37" fontId="10" fillId="0" borderId="11" xfId="0" applyNumberFormat="1" applyFont="1" applyBorder="1" applyAlignment="1">
      <alignment horizontal="center" vertical="center"/>
    </xf>
    <xf numFmtId="0" fontId="17" fillId="2" borderId="11" xfId="0" applyFont="1" applyFill="1" applyBorder="1"/>
    <xf numFmtId="0" fontId="5" fillId="0" borderId="0" xfId="0" applyFont="1" applyAlignment="1">
      <alignment horizontal="center" vertical="center"/>
    </xf>
    <xf numFmtId="37" fontId="5" fillId="0" borderId="0" xfId="0" applyNumberFormat="1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31" fillId="0" borderId="14" xfId="0" applyFont="1" applyBorder="1"/>
    <xf numFmtId="37" fontId="5" fillId="0" borderId="0" xfId="0" applyNumberFormat="1" applyFont="1" applyAlignment="1">
      <alignment horizontal="right" vertical="center"/>
    </xf>
    <xf numFmtId="37" fontId="10" fillId="0" borderId="0" xfId="0" applyNumberFormat="1" applyFont="1" applyAlignment="1">
      <alignment horizontal="center"/>
    </xf>
    <xf numFmtId="37" fontId="10" fillId="0" borderId="1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37" fontId="23" fillId="0" borderId="0" xfId="0" applyNumberFormat="1" applyFont="1" applyAlignment="1">
      <alignment horizontal="right" vertical="center"/>
    </xf>
    <xf numFmtId="0" fontId="23" fillId="0" borderId="0" xfId="0" applyFont="1"/>
    <xf numFmtId="0" fontId="31" fillId="2" borderId="16" xfId="0" applyFont="1" applyFill="1" applyBorder="1" applyAlignment="1">
      <alignment horizontal="center" vertical="center"/>
    </xf>
    <xf numFmtId="37" fontId="9" fillId="0" borderId="13" xfId="0" applyNumberFormat="1" applyFont="1" applyBorder="1" applyAlignment="1">
      <alignment horizontal="center" vertical="center"/>
    </xf>
    <xf numFmtId="0" fontId="17" fillId="2" borderId="15" xfId="0" applyFont="1" applyFill="1" applyBorder="1"/>
    <xf numFmtId="0" fontId="17" fillId="2" borderId="5" xfId="0" applyFont="1" applyFill="1" applyBorder="1"/>
    <xf numFmtId="0" fontId="17" fillId="2" borderId="6" xfId="0" applyFont="1" applyFill="1" applyBorder="1"/>
    <xf numFmtId="37" fontId="25" fillId="0" borderId="0" xfId="0" applyNumberFormat="1" applyFont="1" applyAlignment="1">
      <alignment horizontal="right" vertical="center" readingOrder="1"/>
    </xf>
    <xf numFmtId="0" fontId="24" fillId="0" borderId="0" xfId="0" applyFont="1" applyAlignment="1">
      <alignment readingOrder="1"/>
    </xf>
    <xf numFmtId="0" fontId="17" fillId="0" borderId="11" xfId="0" applyFont="1" applyBorder="1" applyAlignment="1">
      <alignment horizontal="center"/>
    </xf>
    <xf numFmtId="0" fontId="27" fillId="2" borderId="0" xfId="16" applyFont="1" applyAlignment="1">
      <alignment horizontal="center" vertical="center"/>
    </xf>
    <xf numFmtId="0" fontId="39" fillId="2" borderId="0" xfId="16" applyFont="1" applyFill="1" applyAlignment="1">
      <alignment horizontal="center" vertical="center"/>
    </xf>
    <xf numFmtId="0" fontId="14" fillId="2" borderId="0" xfId="16" applyFont="1" applyFill="1" applyAlignment="1">
      <alignment horizontal="right" vertical="center" readingOrder="2"/>
    </xf>
    <xf numFmtId="0" fontId="38" fillId="2" borderId="0" xfId="16" applyBorder="1" applyAlignment="1">
      <alignment horizontal="center"/>
    </xf>
    <xf numFmtId="37" fontId="21" fillId="2" borderId="0" xfId="8" applyNumberFormat="1" applyFont="1" applyAlignment="1">
      <alignment horizontal="center" vertical="center"/>
    </xf>
    <xf numFmtId="37" fontId="25" fillId="2" borderId="0" xfId="8" applyNumberFormat="1" applyFont="1" applyAlignment="1">
      <alignment horizontal="right" vertical="center"/>
    </xf>
    <xf numFmtId="0" fontId="24" fillId="2" borderId="0" xfId="8" applyFont="1"/>
    <xf numFmtId="37" fontId="21" fillId="0" borderId="0" xfId="7" applyNumberFormat="1" applyFont="1" applyFill="1" applyAlignment="1">
      <alignment horizontal="center" vertical="center"/>
    </xf>
    <xf numFmtId="0" fontId="17" fillId="0" borderId="0" xfId="7" applyFont="1" applyFill="1"/>
    <xf numFmtId="37" fontId="25" fillId="0" borderId="0" xfId="7" applyNumberFormat="1" applyFont="1" applyFill="1" applyAlignment="1">
      <alignment horizontal="right" vertical="center"/>
    </xf>
    <xf numFmtId="0" fontId="24" fillId="0" borderId="0" xfId="7" applyFont="1" applyFill="1"/>
    <xf numFmtId="37" fontId="10" fillId="0" borderId="1" xfId="7" applyNumberFormat="1" applyFont="1" applyFill="1" applyBorder="1" applyAlignment="1">
      <alignment horizontal="center" vertical="center"/>
    </xf>
    <xf numFmtId="0" fontId="17" fillId="0" borderId="2" xfId="7" applyFont="1" applyFill="1" applyBorder="1"/>
    <xf numFmtId="37" fontId="10" fillId="0" borderId="8" xfId="10" applyNumberFormat="1" applyFont="1" applyFill="1" applyBorder="1" applyAlignment="1">
      <alignment horizontal="center" vertical="center"/>
    </xf>
    <xf numFmtId="37" fontId="21" fillId="2" borderId="0" xfId="10" applyNumberFormat="1" applyFont="1" applyAlignment="1">
      <alignment horizontal="center" vertical="center"/>
    </xf>
    <xf numFmtId="37" fontId="5" fillId="0" borderId="0" xfId="10" applyNumberFormat="1" applyFont="1" applyFill="1" applyAlignment="1">
      <alignment horizontal="right" vertical="center"/>
    </xf>
    <xf numFmtId="0" fontId="17" fillId="0" borderId="0" xfId="10" applyFont="1" applyFill="1"/>
    <xf numFmtId="0" fontId="17" fillId="2" borderId="0" xfId="10" applyFont="1" applyAlignment="1">
      <alignment horizontal="center"/>
    </xf>
  </cellXfs>
  <cellStyles count="17">
    <cellStyle name="Bad" xfId="15" builtinId="27"/>
    <cellStyle name="Comma" xfId="11" builtinId="3"/>
    <cellStyle name="Comma 2" xfId="3"/>
    <cellStyle name="Comma 2 10 2" xfId="6"/>
    <cellStyle name="Comma 2 2 2" xfId="4"/>
    <cellStyle name="Normal" xfId="0" builtinId="0"/>
    <cellStyle name="Normal 2" xfId="1"/>
    <cellStyle name="Normal 2 2 2" xfId="2"/>
    <cellStyle name="Normal 3" xfId="7"/>
    <cellStyle name="Normal 3 2" xfId="12"/>
    <cellStyle name="Normal 4" xfId="8"/>
    <cellStyle name="Normal 47" xfId="14"/>
    <cellStyle name="Normal 5" xfId="9"/>
    <cellStyle name="Normal 6" xfId="10"/>
    <cellStyle name="Normal 7" xfId="13"/>
    <cellStyle name="Normal 8" xfId="16"/>
    <cellStyle name="Percent 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7</xdr:row>
      <xdr:rowOff>66675</xdr:rowOff>
    </xdr:from>
    <xdr:to>
      <xdr:col>7</xdr:col>
      <xdr:colOff>114299</xdr:colOff>
      <xdr:row>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B343B-9E00-49C0-995E-22D4D249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232301" y="1333500"/>
          <a:ext cx="2933700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1"/>
  <sheetViews>
    <sheetView rightToLeft="1" workbookViewId="0">
      <selection activeCell="B12" sqref="B12"/>
    </sheetView>
  </sheetViews>
  <sheetFormatPr defaultColWidth="9" defaultRowHeight="18" x14ac:dyDescent="0.45"/>
  <cols>
    <col min="1" max="1" width="18.625" style="2" customWidth="1"/>
    <col min="2" max="2" width="32" style="2" bestFit="1" customWidth="1"/>
    <col min="3" max="4" width="18.625" style="2" customWidth="1"/>
    <col min="5" max="16384" width="9" style="2"/>
  </cols>
  <sheetData>
    <row r="1" spans="1:2" ht="29.25" customHeight="1" x14ac:dyDescent="0.45">
      <c r="B1" s="1" t="s">
        <v>61</v>
      </c>
    </row>
    <row r="2" spans="1:2" ht="29.25" customHeight="1" x14ac:dyDescent="0.45">
      <c r="B2" s="1" t="s">
        <v>150</v>
      </c>
    </row>
    <row r="3" spans="1:2" x14ac:dyDescent="0.45">
      <c r="B3" s="1" t="s">
        <v>154</v>
      </c>
    </row>
    <row r="4" spans="1:2" x14ac:dyDescent="0.45">
      <c r="B4" s="1"/>
    </row>
    <row r="5" spans="1:2" x14ac:dyDescent="0.45">
      <c r="A5" s="2" t="s">
        <v>152</v>
      </c>
      <c r="B5" s="2" t="s">
        <v>153</v>
      </c>
    </row>
    <row r="7" spans="1:2" x14ac:dyDescent="0.45">
      <c r="B7" s="1" t="s">
        <v>61</v>
      </c>
    </row>
    <row r="8" spans="1:2" x14ac:dyDescent="0.45">
      <c r="B8" s="2" t="s">
        <v>111</v>
      </c>
    </row>
    <row r="9" spans="1:2" x14ac:dyDescent="0.45">
      <c r="B9" s="1" t="s">
        <v>154</v>
      </c>
    </row>
    <row r="11" spans="1:2" x14ac:dyDescent="0.45">
      <c r="A11" s="2" t="s">
        <v>155</v>
      </c>
      <c r="B11" s="2" t="s">
        <v>156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2:J24"/>
  <sheetViews>
    <sheetView rightToLeft="1" view="pageBreakPreview" zoomScaleNormal="100" zoomScaleSheetLayoutView="100" workbookViewId="0">
      <selection activeCell="A24" sqref="A24:J24"/>
    </sheetView>
  </sheetViews>
  <sheetFormatPr defaultRowHeight="14.25" x14ac:dyDescent="0.2"/>
  <sheetData>
    <row r="22" spans="1:10" ht="39.950000000000003" customHeight="1" x14ac:dyDescent="0.2">
      <c r="A22" s="325" t="str">
        <f>تیتر!B1</f>
        <v>صندوق سرمایه گذاری املاک و مستغلات خانه آگاه</v>
      </c>
      <c r="B22" s="326"/>
      <c r="C22" s="326"/>
      <c r="D22" s="326"/>
      <c r="E22" s="326"/>
      <c r="F22" s="326"/>
      <c r="G22" s="326"/>
      <c r="H22" s="326"/>
      <c r="I22" s="326"/>
      <c r="J22" s="326"/>
    </row>
    <row r="23" spans="1:10" ht="39.950000000000003" customHeight="1" x14ac:dyDescent="0.2">
      <c r="A23" s="325" t="str">
        <f>تیتر!B2</f>
        <v>صورت وضعیت پورتفوی</v>
      </c>
      <c r="B23" s="326"/>
      <c r="C23" s="326"/>
      <c r="D23" s="326"/>
      <c r="E23" s="326"/>
      <c r="F23" s="326"/>
      <c r="G23" s="326"/>
      <c r="H23" s="326"/>
      <c r="I23" s="326"/>
      <c r="J23" s="326"/>
    </row>
    <row r="24" spans="1:10" ht="39.950000000000003" customHeight="1" x14ac:dyDescent="0.2">
      <c r="A24" s="327" t="str">
        <f>تیتر!B3</f>
        <v>برای ماه منتهی به 1405/05/31</v>
      </c>
      <c r="B24" s="326"/>
      <c r="C24" s="326"/>
      <c r="D24" s="326"/>
      <c r="E24" s="326"/>
      <c r="F24" s="326"/>
      <c r="G24" s="326"/>
      <c r="H24" s="326"/>
      <c r="I24" s="326"/>
      <c r="J24" s="326"/>
    </row>
  </sheetData>
  <mergeCells count="3">
    <mergeCell ref="A22:J22"/>
    <mergeCell ref="A23:J23"/>
    <mergeCell ref="A24:J24"/>
  </mergeCells>
  <pageMargins left="0.7" right="0.7" top="0.75" bottom="0.75" header="0.3" footer="0.3"/>
  <pageSetup paperSize="9" scale="8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7"/>
  <sheetViews>
    <sheetView rightToLeft="1" view="pageBreakPreview" zoomScaleNormal="100" zoomScaleSheetLayoutView="100" workbookViewId="0">
      <selection activeCell="A15" sqref="A15:XFD21"/>
    </sheetView>
  </sheetViews>
  <sheetFormatPr defaultColWidth="8" defaultRowHeight="18" x14ac:dyDescent="0.45"/>
  <cols>
    <col min="1" max="1" width="36.375" style="39" customWidth="1"/>
    <col min="2" max="2" width="0.875" style="39" customWidth="1"/>
    <col min="3" max="3" width="7.25" style="9" bestFit="1" customWidth="1"/>
    <col min="4" max="4" width="1" style="9" customWidth="1"/>
    <col min="5" max="5" width="20.75" style="9" customWidth="1"/>
    <col min="6" max="6" width="0.875" style="9" customWidth="1"/>
    <col min="7" max="7" width="20.375" style="37" customWidth="1"/>
    <col min="8" max="8" width="0.75" style="9" customWidth="1"/>
    <col min="9" max="9" width="17.75" style="9" customWidth="1"/>
    <col min="10" max="10" width="1.125" style="9" customWidth="1"/>
    <col min="11" max="11" width="20.875" style="9" customWidth="1"/>
    <col min="12" max="12" width="0.625" style="9" customWidth="1"/>
    <col min="13" max="13" width="22" style="9" customWidth="1"/>
    <col min="14" max="15" width="11.25" style="9" customWidth="1"/>
    <col min="16" max="16" width="12" style="9" customWidth="1"/>
    <col min="17" max="17" width="15.125" style="9" bestFit="1" customWidth="1"/>
    <col min="18" max="16384" width="8" style="9"/>
  </cols>
  <sheetData>
    <row r="1" spans="1:17" ht="34.15" customHeight="1" x14ac:dyDescent="0.45">
      <c r="A1" s="328" t="str">
        <f>'0'!A22:J22</f>
        <v>صندوق سرمایه گذاری املاک و مستغلات خانه آگاه</v>
      </c>
      <c r="B1" s="329"/>
      <c r="C1" s="329"/>
      <c r="D1" s="329"/>
      <c r="E1" s="329"/>
      <c r="F1" s="329"/>
      <c r="G1" s="329"/>
      <c r="H1" s="329"/>
      <c r="I1" s="329"/>
      <c r="J1" s="8"/>
    </row>
    <row r="2" spans="1:17" ht="34.15" customHeight="1" x14ac:dyDescent="0.45">
      <c r="A2" s="329" t="s">
        <v>37</v>
      </c>
      <c r="B2" s="329"/>
      <c r="C2" s="329"/>
      <c r="D2" s="329"/>
      <c r="E2" s="329"/>
      <c r="F2" s="329"/>
      <c r="G2" s="329"/>
      <c r="H2" s="329"/>
      <c r="I2" s="329"/>
      <c r="J2" s="8"/>
    </row>
    <row r="3" spans="1:17" ht="34.15" customHeight="1" x14ac:dyDescent="0.45">
      <c r="A3" s="328" t="str">
        <f>تیتر!B3</f>
        <v>برای ماه منتهی به 1405/05/31</v>
      </c>
      <c r="B3" s="329"/>
      <c r="C3" s="329"/>
      <c r="D3" s="329"/>
      <c r="E3" s="329"/>
      <c r="F3" s="329"/>
      <c r="G3" s="329"/>
      <c r="H3" s="329"/>
      <c r="I3" s="329"/>
      <c r="J3" s="8"/>
    </row>
    <row r="4" spans="1:17" ht="49.9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8"/>
    </row>
    <row r="5" spans="1:17" ht="24" x14ac:dyDescent="0.45">
      <c r="A5" s="330" t="s">
        <v>38</v>
      </c>
      <c r="B5" s="330"/>
      <c r="C5" s="330"/>
      <c r="D5" s="330"/>
      <c r="E5" s="330"/>
      <c r="F5" s="330"/>
      <c r="G5" s="330"/>
      <c r="H5" s="330"/>
      <c r="I5" s="330"/>
      <c r="J5" s="11"/>
    </row>
    <row r="6" spans="1:17" ht="27" customHeight="1" x14ac:dyDescent="0.45">
      <c r="A6" s="12"/>
      <c r="B6" s="12"/>
      <c r="C6" s="12"/>
      <c r="D6" s="12"/>
      <c r="E6" s="333" t="str">
        <f>+تیتر!A5</f>
        <v>1404/04/31</v>
      </c>
      <c r="F6" s="299"/>
      <c r="G6" s="333" t="str">
        <f>+تیتر!B5</f>
        <v>1405/05/31</v>
      </c>
      <c r="H6" s="13"/>
      <c r="I6" s="331" t="s">
        <v>39</v>
      </c>
      <c r="J6" s="12"/>
    </row>
    <row r="7" spans="1:17" ht="22.15" customHeight="1" thickBot="1" x14ac:dyDescent="0.6">
      <c r="A7" s="14" t="s">
        <v>40</v>
      </c>
      <c r="B7" s="8"/>
      <c r="C7" s="14" t="s">
        <v>41</v>
      </c>
      <c r="D7" s="15"/>
      <c r="E7" s="334"/>
      <c r="F7" s="300"/>
      <c r="G7" s="334"/>
      <c r="H7" s="8"/>
      <c r="I7" s="332"/>
      <c r="J7" s="16"/>
    </row>
    <row r="8" spans="1:17" ht="22.15" customHeight="1" x14ac:dyDescent="0.45">
      <c r="A8" s="8"/>
      <c r="B8" s="8"/>
      <c r="C8" s="8"/>
      <c r="D8" s="15"/>
      <c r="E8" s="17" t="s">
        <v>42</v>
      </c>
      <c r="F8" s="17"/>
      <c r="G8" s="18" t="s">
        <v>42</v>
      </c>
      <c r="H8" s="8"/>
      <c r="I8" s="19" t="s">
        <v>43</v>
      </c>
      <c r="J8" s="16"/>
    </row>
    <row r="9" spans="1:17" s="83" customFormat="1" ht="22.15" customHeight="1" x14ac:dyDescent="0.2">
      <c r="A9" s="123" t="s">
        <v>71</v>
      </c>
      <c r="C9" s="21" t="s">
        <v>44</v>
      </c>
      <c r="E9" s="22">
        <f>+'سرمایه گذاری در املاک'!G22</f>
        <v>4042942935071</v>
      </c>
      <c r="F9" s="22"/>
      <c r="G9" s="22">
        <f>+'سرمایه گذاری در املاک'!W22</f>
        <v>6957531000000</v>
      </c>
      <c r="I9" s="24">
        <f>G9/$I$20*100</f>
        <v>78.107989821252701</v>
      </c>
    </row>
    <row r="10" spans="1:17" ht="33" customHeight="1" x14ac:dyDescent="0.45">
      <c r="A10" s="124" t="s">
        <v>48</v>
      </c>
      <c r="B10" s="20"/>
      <c r="C10" s="21" t="s">
        <v>45</v>
      </c>
      <c r="D10" s="16"/>
      <c r="E10" s="22">
        <f>+'سرمایه گذاری در سهام (2)'!G20</f>
        <v>178798430915.70981</v>
      </c>
      <c r="F10" s="22"/>
      <c r="G10" s="22">
        <f>+'سرمایه گذاری در سهام (2)'!W20</f>
        <v>340198884120.30176</v>
      </c>
      <c r="H10" s="23"/>
      <c r="I10" s="24">
        <f>G10/$I$20*100</f>
        <v>3.8192069827745008</v>
      </c>
      <c r="J10" s="16"/>
      <c r="K10" s="30"/>
      <c r="M10" s="30"/>
      <c r="N10" s="43"/>
    </row>
    <row r="11" spans="1:17" ht="32.450000000000003" customHeight="1" x14ac:dyDescent="0.45">
      <c r="A11" s="123" t="s">
        <v>66</v>
      </c>
      <c r="B11" s="20"/>
      <c r="C11" s="21" t="s">
        <v>46</v>
      </c>
      <c r="D11" s="25"/>
      <c r="E11" s="22">
        <f>+صندوق!G15</f>
        <v>994440556762.20435</v>
      </c>
      <c r="F11" s="22"/>
      <c r="G11" s="22">
        <f>صندوق!W15</f>
        <v>958879068876.17505</v>
      </c>
      <c r="H11" s="26"/>
      <c r="I11" s="24">
        <f>G11/$I$20*100</f>
        <v>10.764754990181508</v>
      </c>
      <c r="J11" s="27"/>
      <c r="K11" s="28"/>
      <c r="L11" s="28"/>
      <c r="M11" s="28"/>
      <c r="N11" s="28"/>
      <c r="O11" s="28"/>
      <c r="P11" s="29"/>
      <c r="Q11" s="30"/>
    </row>
    <row r="12" spans="1:17" ht="32.450000000000003" customHeight="1" thickBot="1" x14ac:dyDescent="0.5">
      <c r="A12" s="123" t="s">
        <v>72</v>
      </c>
      <c r="B12" s="20"/>
      <c r="C12" s="21" t="s">
        <v>70</v>
      </c>
      <c r="D12" s="25"/>
      <c r="E12" s="22">
        <f>+سپرده!C13</f>
        <v>765430073164</v>
      </c>
      <c r="F12" s="22"/>
      <c r="G12" s="22">
        <f>+سپرده!I13</f>
        <v>38309657579</v>
      </c>
      <c r="H12" s="26"/>
      <c r="I12" s="24">
        <f>G12/$I$20*100</f>
        <v>0.43007934053563079</v>
      </c>
      <c r="J12" s="27"/>
      <c r="K12" s="28"/>
      <c r="L12" s="28"/>
      <c r="M12" s="28"/>
      <c r="N12" s="28"/>
      <c r="O12" s="28"/>
      <c r="P12" s="29"/>
      <c r="Q12" s="30"/>
    </row>
    <row r="13" spans="1:17" ht="32.450000000000003" customHeight="1" thickBot="1" x14ac:dyDescent="0.5">
      <c r="A13" s="125"/>
      <c r="B13" s="9"/>
      <c r="D13" s="25"/>
      <c r="E13" s="32">
        <f>SUM(E9:E12)</f>
        <v>5981611995912.9141</v>
      </c>
      <c r="F13" s="33"/>
      <c r="G13" s="32">
        <f>SUM(G9:G12)</f>
        <v>8294918610575.4766</v>
      </c>
      <c r="H13" s="26"/>
      <c r="I13" s="34">
        <f>SUM(I9:I12)</f>
        <v>93.122031134744333</v>
      </c>
      <c r="J13" s="27"/>
      <c r="K13" s="28"/>
      <c r="L13" s="28"/>
      <c r="M13" s="28"/>
    </row>
    <row r="14" spans="1:17" ht="20.25" customHeight="1" thickTop="1" x14ac:dyDescent="0.45">
      <c r="A14" s="20"/>
      <c r="B14" s="35"/>
      <c r="C14" s="36"/>
      <c r="D14" s="36"/>
      <c r="H14" s="38"/>
      <c r="J14" s="30">
        <v>0</v>
      </c>
      <c r="K14" s="22"/>
      <c r="M14" s="30"/>
    </row>
    <row r="15" spans="1:17" hidden="1" x14ac:dyDescent="0.45">
      <c r="E15" s="37">
        <v>765430073164</v>
      </c>
      <c r="G15" s="37">
        <v>38309657579</v>
      </c>
      <c r="I15" s="9">
        <v>11</v>
      </c>
      <c r="K15" s="30"/>
      <c r="M15" s="30"/>
    </row>
    <row r="16" spans="1:17" hidden="1" x14ac:dyDescent="0.45">
      <c r="A16" s="40"/>
      <c r="C16" s="41"/>
      <c r="E16" s="37">
        <v>5216181922744</v>
      </c>
      <c r="G16" s="37">
        <v>8256608952993</v>
      </c>
      <c r="I16" s="9">
        <v>15</v>
      </c>
      <c r="K16" s="43"/>
      <c r="M16" s="30"/>
    </row>
    <row r="17" spans="1:17" ht="18.75" hidden="1" x14ac:dyDescent="0.45">
      <c r="A17" s="40"/>
      <c r="C17" s="28"/>
      <c r="E17" s="28">
        <f>SUM(E15:E16)</f>
        <v>5981611995908</v>
      </c>
      <c r="F17" s="28"/>
      <c r="G17" s="28">
        <f>SUM(G15:G16)</f>
        <v>8294918610572</v>
      </c>
    </row>
    <row r="18" spans="1:17" ht="18.75" hidden="1" x14ac:dyDescent="0.45">
      <c r="C18" s="28"/>
      <c r="E18" s="28">
        <f>E13-E17</f>
        <v>4.9140625</v>
      </c>
      <c r="F18" s="28"/>
      <c r="G18" s="28">
        <f>G13-G17</f>
        <v>3.4765625</v>
      </c>
      <c r="H18" s="28">
        <f>H13-H17</f>
        <v>0</v>
      </c>
    </row>
    <row r="19" spans="1:17" ht="18.75" hidden="1" x14ac:dyDescent="0.45">
      <c r="C19" s="21"/>
      <c r="E19" s="42"/>
      <c r="F19" s="42"/>
      <c r="G19" s="42"/>
    </row>
    <row r="20" spans="1:17" ht="18.75" hidden="1" x14ac:dyDescent="0.45">
      <c r="C20" s="21"/>
      <c r="E20" s="28"/>
      <c r="G20" s="28"/>
      <c r="I20" s="30">
        <v>8907579129769</v>
      </c>
    </row>
    <row r="21" spans="1:17" ht="18.75" hidden="1" x14ac:dyDescent="0.45">
      <c r="C21" s="22"/>
      <c r="D21" s="22"/>
      <c r="E21" s="28"/>
      <c r="F21" s="22"/>
      <c r="G21" s="22"/>
      <c r="H21" s="22"/>
      <c r="I21" s="22"/>
      <c r="J21" s="22"/>
    </row>
    <row r="22" spans="1:17" x14ac:dyDescent="0.45">
      <c r="E22" s="43"/>
      <c r="G22" s="44"/>
    </row>
    <row r="24" spans="1:17" ht="32.450000000000003" customHeight="1" x14ac:dyDescent="0.45">
      <c r="A24" s="31"/>
      <c r="B24" s="20"/>
      <c r="C24" s="21"/>
      <c r="D24" s="25"/>
      <c r="E24" s="22"/>
      <c r="F24" s="22"/>
      <c r="G24" s="22"/>
      <c r="H24" s="26"/>
      <c r="I24" s="24"/>
      <c r="J24" s="27"/>
      <c r="K24" s="28"/>
      <c r="L24" s="28"/>
      <c r="M24" s="28"/>
      <c r="N24" s="28"/>
      <c r="O24" s="28"/>
      <c r="P24" s="29"/>
      <c r="Q24" s="30"/>
    </row>
    <row r="25" spans="1:17" x14ac:dyDescent="0.45">
      <c r="E25" s="30"/>
    </row>
    <row r="26" spans="1:17" x14ac:dyDescent="0.45">
      <c r="E26" s="30"/>
      <c r="I26" s="126"/>
      <c r="K26" s="43"/>
    </row>
    <row r="27" spans="1:17" x14ac:dyDescent="0.45">
      <c r="E27" s="30"/>
    </row>
  </sheetData>
  <mergeCells count="7">
    <mergeCell ref="A1:I1"/>
    <mergeCell ref="A2:I2"/>
    <mergeCell ref="A3:I3"/>
    <mergeCell ref="A5:I5"/>
    <mergeCell ref="I6:I7"/>
    <mergeCell ref="E6:E7"/>
    <mergeCell ref="G6:G7"/>
  </mergeCells>
  <phoneticPr fontId="29" type="noConversion"/>
  <printOptions horizontalCentered="1"/>
  <pageMargins left="0.39370078740157483" right="0.39370078740157483" top="0.55118110236220474" bottom="0.35433070866141736" header="0.31496062992125984" footer="0.31496062992125984"/>
  <pageSetup paperSize="9" scale="80" orientation="portrait" r:id="rId1"/>
  <headerFooter>
    <oddFooter xml:space="preserve">&amp;C&amp;"B Nazanin,Regular"&amp;P&amp;"Calibri,Regular"  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5"/>
  <sheetViews>
    <sheetView rightToLeft="1" view="pageBreakPreview" zoomScaleNormal="100" zoomScaleSheetLayoutView="100" workbookViewId="0">
      <selection activeCell="K21" sqref="K21"/>
    </sheetView>
  </sheetViews>
  <sheetFormatPr defaultColWidth="9.125" defaultRowHeight="18" x14ac:dyDescent="0.45"/>
  <cols>
    <col min="1" max="1" width="35.375" style="45" customWidth="1"/>
    <col min="2" max="2" width="0.375" style="45" customWidth="1"/>
    <col min="3" max="3" width="6" style="45" customWidth="1"/>
    <col min="4" max="4" width="0.375" style="45" customWidth="1"/>
    <col min="5" max="5" width="18.75" style="45" customWidth="1"/>
    <col min="6" max="6" width="0.375" style="45" customWidth="1"/>
    <col min="7" max="7" width="19.375" style="45" customWidth="1"/>
    <col min="8" max="8" width="0.375" style="45" customWidth="1"/>
    <col min="9" max="9" width="6.875" style="45" customWidth="1"/>
    <col min="10" max="10" width="0.375" style="45" customWidth="1"/>
    <col min="11" max="11" width="15.25" style="45" customWidth="1"/>
    <col min="12" max="12" width="0.375" style="45" customWidth="1"/>
    <col min="13" max="13" width="6.375" style="45" customWidth="1"/>
    <col min="14" max="14" width="0.375" style="45" customWidth="1"/>
    <col min="15" max="15" width="16.625" style="45" customWidth="1"/>
    <col min="16" max="16" width="0.375" style="45" customWidth="1"/>
    <col min="17" max="17" width="4.75" style="45" customWidth="1"/>
    <col min="18" max="18" width="0.375" style="45" customWidth="1"/>
    <col min="19" max="19" width="18" style="45" customWidth="1"/>
    <col min="20" max="20" width="0.375" style="45" customWidth="1"/>
    <col min="21" max="21" width="18" style="45" customWidth="1"/>
    <col min="22" max="22" width="0.375" style="45" customWidth="1"/>
    <col min="23" max="23" width="17.5" style="45" customWidth="1"/>
    <col min="24" max="24" width="1" style="45" customWidth="1"/>
    <col min="25" max="25" width="9.625" style="105" customWidth="1"/>
    <col min="26" max="26" width="21.375" style="45" hidden="1" customWidth="1"/>
    <col min="27" max="27" width="13.125" style="45" hidden="1" customWidth="1"/>
    <col min="28" max="28" width="13" style="45" hidden="1" customWidth="1"/>
    <col min="29" max="29" width="0" style="45" hidden="1" customWidth="1"/>
    <col min="30" max="30" width="11.25" style="45" hidden="1" customWidth="1"/>
    <col min="31" max="31" width="0.625" style="45" customWidth="1"/>
    <col min="32" max="16384" width="9.125" style="45"/>
  </cols>
  <sheetData>
    <row r="1" spans="1:46" ht="30" customHeight="1" x14ac:dyDescent="0.45">
      <c r="A1" s="344" t="str">
        <f>تیتر!B1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</row>
    <row r="2" spans="1:46" ht="30" customHeight="1" x14ac:dyDescent="0.45">
      <c r="A2" s="344" t="str">
        <f>تیتر!B2</f>
        <v>صورت وضعیت پورتفوی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</row>
    <row r="3" spans="1:46" ht="30" customHeight="1" x14ac:dyDescent="0.45">
      <c r="A3" s="344" t="str">
        <f>تیتر!B3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</row>
    <row r="5" spans="1:46" ht="6.75" customHeight="1" x14ac:dyDescent="0.45">
      <c r="A5" s="346"/>
      <c r="B5" s="345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</row>
    <row r="6" spans="1:46" s="56" customFormat="1" ht="33" customHeight="1" x14ac:dyDescent="0.55000000000000004">
      <c r="A6" s="347" t="s">
        <v>73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</row>
    <row r="7" spans="1:46" ht="18.75" x14ac:dyDescent="0.45">
      <c r="Z7" s="3"/>
      <c r="AB7" s="3"/>
      <c r="AD7" s="3"/>
      <c r="AM7" s="6"/>
      <c r="AN7" s="3"/>
      <c r="AP7" s="3"/>
      <c r="AR7" s="3"/>
      <c r="AT7" s="3"/>
    </row>
    <row r="8" spans="1:46" ht="21" x14ac:dyDescent="0.45">
      <c r="A8" s="131"/>
      <c r="B8" s="131"/>
      <c r="C8" s="335" t="str">
        <f>تیتر!A5</f>
        <v>1404/04/31</v>
      </c>
      <c r="D8" s="336"/>
      <c r="E8" s="336"/>
      <c r="F8" s="336"/>
      <c r="G8" s="336"/>
      <c r="H8" s="131"/>
      <c r="I8" s="335" t="s">
        <v>0</v>
      </c>
      <c r="J8" s="335"/>
      <c r="K8" s="337"/>
      <c r="L8" s="337"/>
      <c r="M8" s="337"/>
      <c r="N8" s="337"/>
      <c r="O8" s="337"/>
      <c r="P8" s="131"/>
      <c r="Q8" s="335" t="str">
        <f>تیتر!B5</f>
        <v>1405/05/31</v>
      </c>
      <c r="R8" s="336"/>
      <c r="S8" s="336"/>
      <c r="T8" s="336"/>
      <c r="U8" s="336"/>
      <c r="V8" s="336"/>
      <c r="W8" s="336"/>
      <c r="X8" s="336"/>
      <c r="Y8" s="336"/>
      <c r="Z8" s="3"/>
      <c r="AB8" s="3"/>
      <c r="AD8" s="3"/>
      <c r="AM8" s="6"/>
      <c r="AN8" s="3"/>
      <c r="AP8" s="3"/>
      <c r="AR8" s="3"/>
      <c r="AT8" s="3"/>
    </row>
    <row r="9" spans="1:46" ht="28.5" customHeight="1" x14ac:dyDescent="0.45">
      <c r="A9" s="338" t="s">
        <v>1</v>
      </c>
      <c r="B9" s="131"/>
      <c r="C9" s="338" t="s">
        <v>2</v>
      </c>
      <c r="D9" s="131"/>
      <c r="E9" s="340" t="s">
        <v>3</v>
      </c>
      <c r="F9" s="131"/>
      <c r="G9" s="340" t="s">
        <v>4</v>
      </c>
      <c r="H9" s="131"/>
      <c r="I9" s="342" t="s">
        <v>5</v>
      </c>
      <c r="J9" s="342"/>
      <c r="K9" s="343"/>
      <c r="L9" s="131"/>
      <c r="M9" s="342" t="s">
        <v>6</v>
      </c>
      <c r="N9" s="342"/>
      <c r="O9" s="343"/>
      <c r="P9" s="131"/>
      <c r="Q9" s="338" t="s">
        <v>2</v>
      </c>
      <c r="R9" s="131"/>
      <c r="S9" s="349" t="s">
        <v>147</v>
      </c>
      <c r="T9" s="131"/>
      <c r="U9" s="338" t="s">
        <v>3</v>
      </c>
      <c r="V9" s="131"/>
      <c r="W9" s="338" t="s">
        <v>4</v>
      </c>
      <c r="X9" s="132"/>
      <c r="Y9" s="350" t="s">
        <v>8</v>
      </c>
      <c r="Z9" s="3"/>
      <c r="AB9" s="3"/>
      <c r="AD9" s="3"/>
      <c r="AM9" s="6"/>
      <c r="AN9" s="3"/>
      <c r="AP9" s="3"/>
      <c r="AR9" s="3"/>
      <c r="AT9" s="3"/>
    </row>
    <row r="10" spans="1:46" ht="28.5" customHeight="1" x14ac:dyDescent="0.45">
      <c r="A10" s="339"/>
      <c r="B10" s="131"/>
      <c r="C10" s="339"/>
      <c r="D10" s="131"/>
      <c r="E10" s="341"/>
      <c r="F10" s="131"/>
      <c r="G10" s="341"/>
      <c r="H10" s="131"/>
      <c r="I10" s="133" t="s">
        <v>2</v>
      </c>
      <c r="J10" s="133"/>
      <c r="K10" s="133" t="s">
        <v>3</v>
      </c>
      <c r="L10" s="131"/>
      <c r="M10" s="133" t="s">
        <v>2</v>
      </c>
      <c r="N10" s="133"/>
      <c r="O10" s="133" t="s">
        <v>146</v>
      </c>
      <c r="P10" s="131"/>
      <c r="Q10" s="339"/>
      <c r="R10" s="131"/>
      <c r="S10" s="339"/>
      <c r="T10" s="131"/>
      <c r="U10" s="339"/>
      <c r="V10" s="131"/>
      <c r="W10" s="339"/>
      <c r="X10" s="133"/>
      <c r="Y10" s="351"/>
      <c r="Z10" s="3"/>
      <c r="AB10" s="3"/>
      <c r="AD10" s="3"/>
      <c r="AM10" s="6"/>
      <c r="AN10" s="3"/>
      <c r="AP10" s="3"/>
      <c r="AR10" s="3"/>
      <c r="AT10" s="3"/>
    </row>
    <row r="11" spans="1:46" ht="23.25" customHeight="1" x14ac:dyDescent="0.45">
      <c r="A11" s="106"/>
      <c r="B11" s="131"/>
      <c r="C11" s="106"/>
      <c r="D11" s="131"/>
      <c r="E11" s="106" t="s">
        <v>47</v>
      </c>
      <c r="F11" s="131"/>
      <c r="G11" s="106" t="s">
        <v>47</v>
      </c>
      <c r="H11" s="131"/>
      <c r="I11" s="106"/>
      <c r="J11" s="106"/>
      <c r="K11" s="106" t="s">
        <v>47</v>
      </c>
      <c r="L11" s="131"/>
      <c r="M11" s="106"/>
      <c r="N11" s="106"/>
      <c r="O11" s="106" t="s">
        <v>47</v>
      </c>
      <c r="P11" s="131"/>
      <c r="Q11" s="106"/>
      <c r="R11" s="131"/>
      <c r="S11" s="106" t="s">
        <v>47</v>
      </c>
      <c r="T11" s="131"/>
      <c r="U11" s="106" t="s">
        <v>47</v>
      </c>
      <c r="V11" s="131"/>
      <c r="W11" s="106" t="s">
        <v>47</v>
      </c>
      <c r="X11" s="106"/>
      <c r="Y11" s="134"/>
      <c r="Z11" s="3"/>
      <c r="AB11" s="3"/>
      <c r="AD11" s="3"/>
      <c r="AM11" s="6"/>
      <c r="AN11" s="3"/>
      <c r="AP11" s="3"/>
      <c r="AR11" s="3"/>
      <c r="AT11" s="3"/>
    </row>
    <row r="12" spans="1:46" ht="30.75" customHeight="1" x14ac:dyDescent="0.45">
      <c r="A12" s="152" t="s">
        <v>96</v>
      </c>
      <c r="B12" s="131"/>
      <c r="C12" s="175">
        <v>1</v>
      </c>
      <c r="D12" s="232"/>
      <c r="E12" s="106">
        <v>265561400000</v>
      </c>
      <c r="F12" s="237"/>
      <c r="G12" s="106">
        <v>265561400000</v>
      </c>
      <c r="H12" s="232"/>
      <c r="I12" s="175">
        <v>0</v>
      </c>
      <c r="J12" s="106"/>
      <c r="K12" s="106">
        <v>0</v>
      </c>
      <c r="L12" s="232"/>
      <c r="M12" s="186">
        <v>0</v>
      </c>
      <c r="N12" s="186"/>
      <c r="O12" s="186">
        <v>0</v>
      </c>
      <c r="P12" s="175"/>
      <c r="Q12" s="175">
        <v>1</v>
      </c>
      <c r="R12" s="232"/>
      <c r="S12" s="106">
        <v>0</v>
      </c>
      <c r="T12" s="232"/>
      <c r="U12" s="106">
        <v>265561400000</v>
      </c>
      <c r="V12" s="106"/>
      <c r="W12" s="106">
        <v>553372000000</v>
      </c>
      <c r="X12" s="106"/>
      <c r="Y12" s="188">
        <f>W12/'سرمایه گذاری ها  '!$I$20*100</f>
        <v>6.2123725418350633</v>
      </c>
      <c r="Z12" s="3"/>
      <c r="AB12" s="3"/>
      <c r="AD12" s="3"/>
      <c r="AM12" s="6"/>
      <c r="AN12" s="3"/>
      <c r="AP12" s="3"/>
      <c r="AR12" s="3"/>
      <c r="AT12" s="3"/>
    </row>
    <row r="13" spans="1:46" ht="30.75" customHeight="1" x14ac:dyDescent="0.45">
      <c r="A13" s="152" t="s">
        <v>97</v>
      </c>
      <c r="B13" s="131"/>
      <c r="C13" s="175">
        <v>1</v>
      </c>
      <c r="D13" s="232"/>
      <c r="E13" s="106">
        <v>278561400000</v>
      </c>
      <c r="F13" s="237"/>
      <c r="G13" s="106">
        <v>278561400000</v>
      </c>
      <c r="H13" s="232"/>
      <c r="I13" s="175">
        <v>0</v>
      </c>
      <c r="J13" s="106"/>
      <c r="K13" s="106">
        <v>0</v>
      </c>
      <c r="L13" s="232"/>
      <c r="M13" s="186">
        <v>0</v>
      </c>
      <c r="N13" s="186"/>
      <c r="O13" s="186">
        <v>0</v>
      </c>
      <c r="P13" s="175"/>
      <c r="Q13" s="175">
        <v>1</v>
      </c>
      <c r="R13" s="232"/>
      <c r="S13" s="106">
        <v>0</v>
      </c>
      <c r="T13" s="232"/>
      <c r="U13" s="106">
        <v>278561400000</v>
      </c>
      <c r="V13" s="106"/>
      <c r="W13" s="106">
        <v>655028000000</v>
      </c>
      <c r="X13" s="106"/>
      <c r="Y13" s="188">
        <f>W13/'سرمایه گذاری ها  '!$I$20*100</f>
        <v>7.3536029313610696</v>
      </c>
      <c r="Z13" s="3"/>
      <c r="AB13" s="3"/>
      <c r="AD13" s="3"/>
      <c r="AM13" s="6"/>
      <c r="AN13" s="3"/>
      <c r="AP13" s="3"/>
      <c r="AR13" s="3"/>
      <c r="AT13" s="3"/>
    </row>
    <row r="14" spans="1:46" ht="30.75" customHeight="1" x14ac:dyDescent="0.45">
      <c r="A14" s="152" t="s">
        <v>98</v>
      </c>
      <c r="B14" s="131"/>
      <c r="C14" s="175">
        <v>1</v>
      </c>
      <c r="D14" s="232"/>
      <c r="E14" s="106">
        <v>279561400000</v>
      </c>
      <c r="F14" s="237"/>
      <c r="G14" s="106">
        <v>279561400000</v>
      </c>
      <c r="H14" s="232"/>
      <c r="I14" s="175">
        <v>0</v>
      </c>
      <c r="J14" s="106"/>
      <c r="K14" s="106">
        <v>0</v>
      </c>
      <c r="L14" s="232"/>
      <c r="M14" s="186">
        <v>0</v>
      </c>
      <c r="N14" s="186"/>
      <c r="O14" s="186">
        <v>0</v>
      </c>
      <c r="P14" s="175"/>
      <c r="Q14" s="175">
        <v>1</v>
      </c>
      <c r="R14" s="232"/>
      <c r="S14" s="106">
        <v>0</v>
      </c>
      <c r="T14" s="232"/>
      <c r="U14" s="106">
        <v>279561400000</v>
      </c>
      <c r="V14" s="106"/>
      <c r="W14" s="106">
        <v>631710000000</v>
      </c>
      <c r="X14" s="106"/>
      <c r="Y14" s="188">
        <f>W14/'سرمایه گذاری ها  '!$I$20*100</f>
        <v>7.0918258574749498</v>
      </c>
      <c r="Z14" s="3"/>
      <c r="AB14" s="3"/>
      <c r="AD14" s="3"/>
      <c r="AM14" s="6"/>
      <c r="AN14" s="3"/>
      <c r="AP14" s="3"/>
      <c r="AR14" s="3"/>
      <c r="AT14" s="3"/>
    </row>
    <row r="15" spans="1:46" ht="30.75" customHeight="1" x14ac:dyDescent="0.45">
      <c r="A15" s="152" t="s">
        <v>99</v>
      </c>
      <c r="B15" s="131"/>
      <c r="C15" s="175">
        <v>1</v>
      </c>
      <c r="D15" s="232"/>
      <c r="E15" s="106">
        <v>279561400000</v>
      </c>
      <c r="F15" s="237"/>
      <c r="G15" s="106">
        <v>279561400000</v>
      </c>
      <c r="H15" s="232"/>
      <c r="I15" s="175">
        <v>0</v>
      </c>
      <c r="J15" s="106"/>
      <c r="K15" s="106">
        <v>0</v>
      </c>
      <c r="L15" s="232"/>
      <c r="M15" s="186">
        <v>0</v>
      </c>
      <c r="N15" s="186"/>
      <c r="O15" s="186">
        <v>0</v>
      </c>
      <c r="P15" s="175"/>
      <c r="Q15" s="175">
        <v>1</v>
      </c>
      <c r="R15" s="232"/>
      <c r="S15" s="106">
        <v>0</v>
      </c>
      <c r="T15" s="232"/>
      <c r="U15" s="106">
        <v>279561400000</v>
      </c>
      <c r="V15" s="106"/>
      <c r="W15" s="106">
        <v>642024000000</v>
      </c>
      <c r="X15" s="106"/>
      <c r="Y15" s="188">
        <f>W15/'سرمایه گذاری ها  '!$I$20*100</f>
        <v>7.207614893415486</v>
      </c>
      <c r="Z15" s="3"/>
      <c r="AB15" s="3"/>
      <c r="AD15" s="3">
        <v>170297269</v>
      </c>
      <c r="AM15" s="6"/>
      <c r="AN15" s="3"/>
      <c r="AP15" s="3"/>
      <c r="AR15" s="3"/>
      <c r="AT15" s="3"/>
    </row>
    <row r="16" spans="1:46" ht="30.75" customHeight="1" x14ac:dyDescent="0.45">
      <c r="A16" s="193" t="s">
        <v>100</v>
      </c>
      <c r="C16" s="175">
        <v>1</v>
      </c>
      <c r="D16" s="155"/>
      <c r="E16" s="106">
        <v>279561400000</v>
      </c>
      <c r="F16" s="238"/>
      <c r="G16" s="106">
        <v>279561400000</v>
      </c>
      <c r="H16" s="155"/>
      <c r="I16" s="175">
        <v>0</v>
      </c>
      <c r="J16" s="155"/>
      <c r="K16" s="106">
        <v>0</v>
      </c>
      <c r="L16" s="155"/>
      <c r="M16" s="186">
        <v>0</v>
      </c>
      <c r="N16" s="186"/>
      <c r="O16" s="186">
        <v>0</v>
      </c>
      <c r="P16" s="175"/>
      <c r="Q16" s="175">
        <v>1</v>
      </c>
      <c r="R16" s="155"/>
      <c r="S16" s="106">
        <v>0</v>
      </c>
      <c r="T16" s="155"/>
      <c r="U16" s="106">
        <v>279561400000</v>
      </c>
      <c r="V16" s="106"/>
      <c r="W16" s="106">
        <v>624079000000</v>
      </c>
      <c r="X16" s="155"/>
      <c r="Y16" s="188">
        <f>W16/'سرمایه گذاری ها  '!$I$20*100</f>
        <v>7.0061572387758755</v>
      </c>
      <c r="Z16" s="3"/>
      <c r="AB16" s="3"/>
      <c r="AD16" s="3">
        <v>141477731</v>
      </c>
      <c r="AM16" s="6"/>
      <c r="AN16" s="3"/>
      <c r="AP16" s="3"/>
      <c r="AR16" s="3"/>
      <c r="AT16" s="3"/>
    </row>
    <row r="17" spans="1:28" ht="30.75" customHeight="1" x14ac:dyDescent="0.45">
      <c r="A17" s="193" t="s">
        <v>102</v>
      </c>
      <c r="C17" s="175">
        <v>1</v>
      </c>
      <c r="D17" s="155"/>
      <c r="E17" s="106">
        <v>535747500000</v>
      </c>
      <c r="F17" s="155"/>
      <c r="G17" s="106">
        <v>535747500000</v>
      </c>
      <c r="H17" s="155"/>
      <c r="I17" s="175">
        <v>0</v>
      </c>
      <c r="J17" s="106"/>
      <c r="K17" s="185">
        <v>0</v>
      </c>
      <c r="L17" s="155"/>
      <c r="M17" s="186">
        <v>0</v>
      </c>
      <c r="N17" s="155"/>
      <c r="O17" s="186">
        <v>0</v>
      </c>
      <c r="P17" s="155"/>
      <c r="Q17" s="175">
        <v>1</v>
      </c>
      <c r="R17" s="155"/>
      <c r="S17" s="106">
        <v>0</v>
      </c>
      <c r="T17" s="155"/>
      <c r="U17" s="106">
        <v>535747500000</v>
      </c>
      <c r="V17" s="106"/>
      <c r="W17" s="106">
        <v>800000000000</v>
      </c>
      <c r="X17" s="155"/>
      <c r="Y17" s="188">
        <f>W17/'سرمایه گذاری ها  '!$I$20*100</f>
        <v>8.9811158379318989</v>
      </c>
      <c r="Z17" s="55">
        <v>194822609879</v>
      </c>
      <c r="AA17" s="55">
        <v>170299445803</v>
      </c>
      <c r="AB17" s="55">
        <f>Z17+AA17</f>
        <v>365122055682</v>
      </c>
    </row>
    <row r="18" spans="1:28" ht="30.75" customHeight="1" x14ac:dyDescent="0.45">
      <c r="A18" s="193" t="s">
        <v>120</v>
      </c>
      <c r="C18" s="175">
        <v>1</v>
      </c>
      <c r="D18" s="155"/>
      <c r="E18" s="106">
        <v>80374412500</v>
      </c>
      <c r="F18" s="155"/>
      <c r="G18" s="106">
        <v>80374412500</v>
      </c>
      <c r="H18" s="155"/>
      <c r="I18" s="175">
        <v>0</v>
      </c>
      <c r="J18" s="106"/>
      <c r="K18" s="185">
        <v>0</v>
      </c>
      <c r="L18" s="155"/>
      <c r="M18" s="186">
        <v>0</v>
      </c>
      <c r="N18" s="155"/>
      <c r="O18" s="186">
        <v>0</v>
      </c>
      <c r="P18" s="155"/>
      <c r="Q18" s="175">
        <v>1</v>
      </c>
      <c r="R18" s="155"/>
      <c r="S18" s="185">
        <v>0</v>
      </c>
      <c r="T18" s="155"/>
      <c r="U18" s="185">
        <v>80374412500</v>
      </c>
      <c r="V18" s="106"/>
      <c r="W18" s="185">
        <v>181588000000</v>
      </c>
      <c r="X18" s="155"/>
      <c r="Y18" s="188">
        <f>W18/'سرمایه گذاری ها  '!$I$20*100</f>
        <v>2.038578578472972</v>
      </c>
      <c r="AA18" s="55"/>
    </row>
    <row r="19" spans="1:28" ht="30.75" customHeight="1" x14ac:dyDescent="0.45">
      <c r="A19" s="193" t="s">
        <v>123</v>
      </c>
      <c r="C19" s="175">
        <v>1</v>
      </c>
      <c r="D19" s="155"/>
      <c r="E19" s="106">
        <v>433049971462</v>
      </c>
      <c r="F19" s="155"/>
      <c r="G19" s="106">
        <v>433049971462</v>
      </c>
      <c r="H19" s="155"/>
      <c r="I19" s="175">
        <v>0</v>
      </c>
      <c r="J19" s="106"/>
      <c r="K19" s="185">
        <v>0</v>
      </c>
      <c r="L19" s="155"/>
      <c r="M19" s="186">
        <v>0</v>
      </c>
      <c r="N19" s="155"/>
      <c r="O19" s="186">
        <v>0</v>
      </c>
      <c r="P19" s="155"/>
      <c r="Q19" s="175">
        <v>1</v>
      </c>
      <c r="R19" s="155"/>
      <c r="S19" s="185">
        <v>0</v>
      </c>
      <c r="T19" s="155"/>
      <c r="U19" s="185">
        <v>433049971462</v>
      </c>
      <c r="V19" s="106"/>
      <c r="W19" s="185">
        <v>790000000000</v>
      </c>
      <c r="X19" s="155"/>
      <c r="Y19" s="188">
        <f>W19/'سرمایه گذاری ها  '!$I$20*100</f>
        <v>8.8688518899577495</v>
      </c>
      <c r="Z19" s="55">
        <f>G19-W19</f>
        <v>-356950028538</v>
      </c>
      <c r="AA19" s="55"/>
    </row>
    <row r="20" spans="1:28" s="268" customFormat="1" ht="30.75" customHeight="1" x14ac:dyDescent="0.45">
      <c r="A20" s="193" t="s">
        <v>134</v>
      </c>
      <c r="C20" s="175">
        <v>1</v>
      </c>
      <c r="D20" s="155"/>
      <c r="E20" s="185">
        <v>1610964051109</v>
      </c>
      <c r="F20" s="106"/>
      <c r="G20" s="185">
        <v>1610964051109</v>
      </c>
      <c r="H20" s="155"/>
      <c r="I20" s="175">
        <v>0</v>
      </c>
      <c r="J20" s="106"/>
      <c r="K20" s="185">
        <v>0</v>
      </c>
      <c r="L20" s="155"/>
      <c r="M20" s="186">
        <v>0</v>
      </c>
      <c r="N20" s="155"/>
      <c r="O20" s="186">
        <v>0</v>
      </c>
      <c r="P20" s="155"/>
      <c r="Q20" s="175">
        <v>1</v>
      </c>
      <c r="R20" s="155"/>
      <c r="S20" s="185">
        <v>0</v>
      </c>
      <c r="T20" s="155"/>
      <c r="U20" s="185">
        <v>1610964051109</v>
      </c>
      <c r="V20" s="106"/>
      <c r="W20" s="185">
        <v>1750000000000</v>
      </c>
      <c r="X20" s="155"/>
      <c r="Y20" s="188">
        <f>W20/'سرمایه گذاری ها  '!$I$20*100</f>
        <v>19.646190895476025</v>
      </c>
      <c r="Z20" s="55"/>
      <c r="AA20" s="55"/>
    </row>
    <row r="21" spans="1:28" s="316" customFormat="1" ht="30.75" customHeight="1" x14ac:dyDescent="0.45">
      <c r="A21" s="193" t="s">
        <v>157</v>
      </c>
      <c r="C21" s="175"/>
      <c r="D21" s="155"/>
      <c r="E21" s="185">
        <v>0</v>
      </c>
      <c r="F21" s="106"/>
      <c r="G21" s="185">
        <v>0</v>
      </c>
      <c r="H21" s="155"/>
      <c r="I21" s="175">
        <v>1</v>
      </c>
      <c r="J21" s="106"/>
      <c r="K21" s="185">
        <v>329730000000</v>
      </c>
      <c r="L21" s="155"/>
      <c r="M21" s="186"/>
      <c r="N21" s="155"/>
      <c r="O21" s="186">
        <v>0</v>
      </c>
      <c r="P21" s="155"/>
      <c r="Q21" s="175">
        <v>1</v>
      </c>
      <c r="R21" s="155"/>
      <c r="S21" s="185">
        <f>+K21</f>
        <v>329730000000</v>
      </c>
      <c r="T21" s="155"/>
      <c r="U21" s="185">
        <v>329730000000</v>
      </c>
      <c r="V21" s="106"/>
      <c r="W21" s="185">
        <v>329730000000</v>
      </c>
      <c r="X21" s="155"/>
      <c r="Y21" s="188">
        <f>W21/'سرمایه گذاری ها  '!$I$20*100</f>
        <v>3.7016791565516058</v>
      </c>
      <c r="Z21" s="55"/>
      <c r="AA21" s="55"/>
    </row>
    <row r="22" spans="1:28" ht="25.5" customHeight="1" thickBot="1" x14ac:dyDescent="0.5">
      <c r="A22" s="129"/>
      <c r="B22" s="131"/>
      <c r="C22" s="180"/>
      <c r="D22" s="161"/>
      <c r="E22" s="214">
        <f>SUM(E12:E21)</f>
        <v>4042942935071</v>
      </c>
      <c r="F22" s="187"/>
      <c r="G22" s="214">
        <f>SUM(G12:G21)</f>
        <v>4042942935071</v>
      </c>
      <c r="H22" s="175"/>
      <c r="I22" s="239"/>
      <c r="J22" s="175"/>
      <c r="K22" s="214">
        <f>SUM(K12:K21)</f>
        <v>329730000000</v>
      </c>
      <c r="L22" s="186"/>
      <c r="M22" s="239"/>
      <c r="N22" s="186"/>
      <c r="O22" s="214">
        <f>SUBTOTAL(9,O12:O21)</f>
        <v>0</v>
      </c>
      <c r="P22" s="175"/>
      <c r="Q22" s="239"/>
      <c r="R22" s="175"/>
      <c r="S22" s="214">
        <f>SUM(S12:S21)</f>
        <v>329730000000</v>
      </c>
      <c r="T22" s="175"/>
      <c r="U22" s="214">
        <f>SUM(U12:U21)</f>
        <v>4372672935071</v>
      </c>
      <c r="V22" s="175"/>
      <c r="W22" s="214">
        <f>SUM(W12:W21)</f>
        <v>6957531000000</v>
      </c>
      <c r="X22" s="175"/>
      <c r="Y22" s="189">
        <f>SUM(Y12:Y21)</f>
        <v>78.107989821252687</v>
      </c>
      <c r="Z22" s="55">
        <f>G22-W22</f>
        <v>-2914588064929</v>
      </c>
    </row>
    <row r="23" spans="1:28" ht="19.5" thickTop="1" x14ac:dyDescent="0.45">
      <c r="J23" s="83"/>
      <c r="L23" s="84"/>
      <c r="X23" s="3"/>
    </row>
    <row r="24" spans="1:28" ht="18.75" x14ac:dyDescent="0.45">
      <c r="A24" s="352" t="s">
        <v>145</v>
      </c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W24" s="3"/>
      <c r="X24" s="3"/>
    </row>
    <row r="25" spans="1:28" ht="18.75" x14ac:dyDescent="0.45">
      <c r="J25" s="83"/>
      <c r="W25" s="55"/>
    </row>
    <row r="26" spans="1:28" hidden="1" x14ac:dyDescent="0.45">
      <c r="G26" s="55">
        <v>2363739193182</v>
      </c>
      <c r="W26" s="55">
        <v>3498596486728</v>
      </c>
    </row>
    <row r="27" spans="1:28" hidden="1" x14ac:dyDescent="0.45">
      <c r="G27" s="55">
        <f>G22-G26</f>
        <v>1679203741889</v>
      </c>
      <c r="W27" s="55">
        <f>W22-W26</f>
        <v>3458934513272</v>
      </c>
    </row>
    <row r="28" spans="1:28" hidden="1" x14ac:dyDescent="0.45">
      <c r="G28" s="55">
        <v>3298594058421</v>
      </c>
      <c r="W28" s="55">
        <v>3299723783421</v>
      </c>
    </row>
    <row r="29" spans="1:28" hidden="1" x14ac:dyDescent="0.45">
      <c r="G29" s="55">
        <f>G22-G28</f>
        <v>744348876650</v>
      </c>
      <c r="W29" s="55">
        <f>W22-W28</f>
        <v>3657807216579</v>
      </c>
    </row>
    <row r="33" spans="5:19" ht="18.75" x14ac:dyDescent="0.45">
      <c r="E33" s="106"/>
    </row>
    <row r="34" spans="5:19" x14ac:dyDescent="0.45">
      <c r="E34" s="55"/>
      <c r="S34" s="48"/>
    </row>
    <row r="35" spans="5:19" x14ac:dyDescent="0.45">
      <c r="E35" s="55"/>
    </row>
  </sheetData>
  <mergeCells count="20">
    <mergeCell ref="A24:U24"/>
    <mergeCell ref="A1:Y1"/>
    <mergeCell ref="A2:Y2"/>
    <mergeCell ref="A3:Y3"/>
    <mergeCell ref="A5:Y5"/>
    <mergeCell ref="A6:Y6"/>
    <mergeCell ref="C8:G8"/>
    <mergeCell ref="I8:O8"/>
    <mergeCell ref="Q8:Y8"/>
    <mergeCell ref="A9:A10"/>
    <mergeCell ref="C9:C10"/>
    <mergeCell ref="E9:E10"/>
    <mergeCell ref="G9:G10"/>
    <mergeCell ref="I9:K9"/>
    <mergeCell ref="M9:O9"/>
    <mergeCell ref="Q9:Q10"/>
    <mergeCell ref="S9:S10"/>
    <mergeCell ref="U9:U10"/>
    <mergeCell ref="W9:W10"/>
    <mergeCell ref="Y9:Y10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42"/>
  <sheetViews>
    <sheetView rightToLeft="1" view="pageBreakPreview" topLeftCell="A4" zoomScale="90" zoomScaleNormal="100" zoomScaleSheetLayoutView="90" workbookViewId="0">
      <selection activeCell="AB4" sqref="AB1:AD1048576"/>
    </sheetView>
  </sheetViews>
  <sheetFormatPr defaultColWidth="9.125" defaultRowHeight="18" x14ac:dyDescent="0.45"/>
  <cols>
    <col min="1" max="1" width="21.625" style="45" bestFit="1" customWidth="1"/>
    <col min="2" max="2" width="1.375" style="45" customWidth="1"/>
    <col min="3" max="3" width="11.375" style="45" customWidth="1"/>
    <col min="4" max="4" width="1.375" style="45" customWidth="1"/>
    <col min="5" max="5" width="16.125" style="45" bestFit="1" customWidth="1"/>
    <col min="6" max="6" width="1" style="45" customWidth="1"/>
    <col min="7" max="7" width="15.25" style="45" customWidth="1"/>
    <col min="8" max="8" width="0.875" style="45" customWidth="1"/>
    <col min="9" max="9" width="9.625" style="45" bestFit="1" customWidth="1"/>
    <col min="10" max="10" width="0.375" style="45" customWidth="1"/>
    <col min="11" max="11" width="15.25" style="45" bestFit="1" customWidth="1"/>
    <col min="12" max="12" width="1" style="45" customWidth="1"/>
    <col min="13" max="13" width="8.875" style="45" customWidth="1"/>
    <col min="14" max="14" width="1" style="45" customWidth="1"/>
    <col min="15" max="15" width="12.625" style="45" customWidth="1"/>
    <col min="16" max="16" width="1.125" style="45" customWidth="1"/>
    <col min="17" max="17" width="13.625" style="45" customWidth="1"/>
    <col min="18" max="18" width="0.375" style="45" customWidth="1"/>
    <col min="19" max="19" width="8.75" style="45" customWidth="1"/>
    <col min="20" max="20" width="0.875" style="45" customWidth="1"/>
    <col min="21" max="21" width="16.375" style="45" customWidth="1"/>
    <col min="22" max="22" width="0.625" style="45" customWidth="1"/>
    <col min="23" max="23" width="16.125" style="45" customWidth="1"/>
    <col min="24" max="24" width="1" style="45" customWidth="1"/>
    <col min="25" max="25" width="10.375" style="105" customWidth="1"/>
    <col min="26" max="26" width="3.25" style="45" customWidth="1"/>
    <col min="27" max="27" width="9.125" style="45" customWidth="1"/>
    <col min="28" max="29" width="0" style="45" hidden="1" customWidth="1"/>
    <col min="30" max="30" width="14.75" style="45" hidden="1" customWidth="1"/>
    <col min="31" max="16384" width="9.125" style="45"/>
  </cols>
  <sheetData>
    <row r="1" spans="1:46" ht="27.75" customHeight="1" x14ac:dyDescent="0.45">
      <c r="A1" s="344" t="str">
        <f>تیتر!B1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</row>
    <row r="2" spans="1:46" ht="27.75" customHeight="1" x14ac:dyDescent="0.45">
      <c r="A2" s="344" t="str">
        <f>تیتر!B2</f>
        <v>صورت وضعیت پورتفوی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</row>
    <row r="3" spans="1:46" ht="27.75" customHeight="1" x14ac:dyDescent="0.45">
      <c r="A3" s="344" t="str">
        <f>تیتر!B3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</row>
    <row r="5" spans="1:46" ht="16.5" customHeight="1" x14ac:dyDescent="0.45">
      <c r="A5" s="346"/>
      <c r="B5" s="345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</row>
    <row r="6" spans="1:46" s="56" customFormat="1" ht="36.75" customHeight="1" x14ac:dyDescent="0.55000000000000004">
      <c r="A6" s="347" t="s">
        <v>93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</row>
    <row r="7" spans="1:46" ht="18.75" x14ac:dyDescent="0.45">
      <c r="Z7" s="3"/>
      <c r="AB7" s="3"/>
      <c r="AD7" s="3"/>
      <c r="AM7" s="6"/>
      <c r="AN7" s="3"/>
      <c r="AP7" s="3"/>
      <c r="AR7" s="3"/>
      <c r="AT7" s="3"/>
    </row>
    <row r="8" spans="1:46" ht="33.75" customHeight="1" x14ac:dyDescent="0.45">
      <c r="C8" s="353" t="str">
        <f>تیتر!A5</f>
        <v>1404/04/31</v>
      </c>
      <c r="D8" s="354"/>
      <c r="E8" s="354"/>
      <c r="F8" s="354"/>
      <c r="G8" s="354"/>
      <c r="I8" s="353" t="s">
        <v>0</v>
      </c>
      <c r="J8" s="353"/>
      <c r="K8" s="355"/>
      <c r="L8" s="355"/>
      <c r="M8" s="355"/>
      <c r="N8" s="355"/>
      <c r="O8" s="355"/>
      <c r="Q8" s="353" t="str">
        <f>تیتر!B5</f>
        <v>1405/05/31</v>
      </c>
      <c r="R8" s="354"/>
      <c r="S8" s="354"/>
      <c r="T8" s="354"/>
      <c r="U8" s="354"/>
      <c r="V8" s="354"/>
      <c r="W8" s="354"/>
      <c r="X8" s="354"/>
      <c r="Y8" s="354"/>
      <c r="Z8" s="3"/>
      <c r="AB8" s="3"/>
      <c r="AD8" s="3"/>
      <c r="AM8" s="6"/>
      <c r="AN8" s="3"/>
      <c r="AP8" s="3"/>
      <c r="AR8" s="3"/>
      <c r="AT8" s="3"/>
    </row>
    <row r="9" spans="1:46" s="135" customFormat="1" ht="25.5" customHeight="1" x14ac:dyDescent="0.5">
      <c r="A9" s="356" t="s">
        <v>1</v>
      </c>
      <c r="C9" s="356" t="s">
        <v>2</v>
      </c>
      <c r="E9" s="356" t="s">
        <v>3</v>
      </c>
      <c r="G9" s="356" t="s">
        <v>4</v>
      </c>
      <c r="I9" s="358" t="s">
        <v>5</v>
      </c>
      <c r="J9" s="358"/>
      <c r="K9" s="359"/>
      <c r="M9" s="358" t="s">
        <v>6</v>
      </c>
      <c r="N9" s="358"/>
      <c r="O9" s="359"/>
      <c r="Q9" s="356" t="s">
        <v>2</v>
      </c>
      <c r="S9" s="360" t="s">
        <v>7</v>
      </c>
      <c r="U9" s="356" t="s">
        <v>3</v>
      </c>
      <c r="W9" s="356" t="s">
        <v>4</v>
      </c>
      <c r="X9" s="138"/>
      <c r="Y9" s="361" t="s">
        <v>8</v>
      </c>
      <c r="Z9" s="139"/>
      <c r="AB9" s="139"/>
      <c r="AD9" s="139"/>
      <c r="AM9" s="138"/>
      <c r="AN9" s="139"/>
      <c r="AP9" s="139"/>
      <c r="AR9" s="139"/>
      <c r="AT9" s="139"/>
    </row>
    <row r="10" spans="1:46" s="135" customFormat="1" ht="25.5" customHeight="1" x14ac:dyDescent="0.5">
      <c r="A10" s="357"/>
      <c r="C10" s="357"/>
      <c r="E10" s="357"/>
      <c r="G10" s="357"/>
      <c r="I10" s="279" t="s">
        <v>2</v>
      </c>
      <c r="J10" s="279"/>
      <c r="K10" s="279" t="s">
        <v>3</v>
      </c>
      <c r="M10" s="279" t="s">
        <v>2</v>
      </c>
      <c r="N10" s="279"/>
      <c r="O10" s="279" t="s">
        <v>9</v>
      </c>
      <c r="Q10" s="357"/>
      <c r="S10" s="357"/>
      <c r="U10" s="357"/>
      <c r="W10" s="357"/>
      <c r="X10" s="279"/>
      <c r="Y10" s="362"/>
      <c r="Z10" s="139"/>
      <c r="AB10" s="139"/>
      <c r="AD10" s="139"/>
      <c r="AM10" s="138"/>
      <c r="AN10" s="139"/>
      <c r="AP10" s="139"/>
      <c r="AR10" s="139"/>
      <c r="AT10" s="139"/>
    </row>
    <row r="11" spans="1:46" ht="21.75" customHeight="1" x14ac:dyDescent="0.45">
      <c r="A11" s="7"/>
      <c r="B11" s="280"/>
      <c r="C11" s="7"/>
      <c r="D11" s="280"/>
      <c r="E11" s="129" t="s">
        <v>47</v>
      </c>
      <c r="F11" s="280"/>
      <c r="G11" s="129" t="s">
        <v>47</v>
      </c>
      <c r="H11" s="280"/>
      <c r="I11" s="129"/>
      <c r="J11" s="7"/>
      <c r="K11" s="129" t="s">
        <v>47</v>
      </c>
      <c r="L11" s="280"/>
      <c r="M11" s="7"/>
      <c r="N11" s="7"/>
      <c r="O11" s="129" t="s">
        <v>47</v>
      </c>
      <c r="P11" s="280"/>
      <c r="Q11" s="7"/>
      <c r="R11" s="280"/>
      <c r="S11" s="129" t="s">
        <v>47</v>
      </c>
      <c r="T11" s="280"/>
      <c r="U11" s="129" t="s">
        <v>47</v>
      </c>
      <c r="V11" s="280"/>
      <c r="W11" s="129" t="s">
        <v>47</v>
      </c>
      <c r="X11" s="7"/>
      <c r="Y11" s="321" t="s">
        <v>43</v>
      </c>
      <c r="Z11" s="3"/>
      <c r="AB11" s="3"/>
      <c r="AD11" s="3"/>
      <c r="AM11" s="6"/>
      <c r="AN11" s="3"/>
      <c r="AP11" s="3"/>
      <c r="AR11" s="3"/>
      <c r="AT11" s="3"/>
    </row>
    <row r="12" spans="1:46" s="155" customFormat="1" ht="32.25" customHeight="1" x14ac:dyDescent="0.2">
      <c r="A12" s="169" t="s">
        <v>69</v>
      </c>
      <c r="B12" s="318"/>
      <c r="C12" s="283">
        <v>21000000</v>
      </c>
      <c r="D12" s="283"/>
      <c r="E12" s="281">
        <v>11480397882</v>
      </c>
      <c r="F12" s="282"/>
      <c r="G12" s="281">
        <v>12210874620</v>
      </c>
      <c r="H12" s="282"/>
      <c r="I12" s="319">
        <v>0</v>
      </c>
      <c r="J12" s="154"/>
      <c r="K12" s="319">
        <v>0</v>
      </c>
      <c r="L12" s="282"/>
      <c r="M12" s="226">
        <v>0</v>
      </c>
      <c r="N12" s="223"/>
      <c r="O12" s="226">
        <v>0</v>
      </c>
      <c r="P12" s="282"/>
      <c r="Q12" s="319">
        <v>21000000</v>
      </c>
      <c r="R12" s="154"/>
      <c r="S12" s="319">
        <v>691</v>
      </c>
      <c r="T12" s="282"/>
      <c r="U12" s="319">
        <v>11480397882</v>
      </c>
      <c r="V12" s="154"/>
      <c r="W12" s="319">
        <v>14398829970</v>
      </c>
      <c r="X12" s="284"/>
      <c r="Y12" s="285">
        <f>W12/'سرمایه گذاری ها  '!$I$20*100</f>
        <v>0.16164694986406936</v>
      </c>
      <c r="Z12" s="3"/>
      <c r="AA12" s="236">
        <f>C12+I12+M12-Q12</f>
        <v>0</v>
      </c>
      <c r="AB12" s="3"/>
      <c r="AD12" s="3"/>
      <c r="AM12" s="6"/>
      <c r="AN12" s="3"/>
      <c r="AP12" s="3"/>
      <c r="AR12" s="3"/>
      <c r="AT12" s="3"/>
    </row>
    <row r="13" spans="1:46" s="155" customFormat="1" ht="32.25" customHeight="1" x14ac:dyDescent="0.2">
      <c r="A13" s="169" t="s">
        <v>62</v>
      </c>
      <c r="B13" s="154"/>
      <c r="C13" s="170">
        <v>802740</v>
      </c>
      <c r="D13" s="170"/>
      <c r="E13" s="225">
        <v>1174314963</v>
      </c>
      <c r="F13" s="222"/>
      <c r="G13" s="225">
        <v>1128689839.6566</v>
      </c>
      <c r="H13" s="222"/>
      <c r="I13" s="170">
        <v>0</v>
      </c>
      <c r="J13" s="154"/>
      <c r="K13" s="170">
        <v>0</v>
      </c>
      <c r="L13" s="222"/>
      <c r="M13" s="226">
        <v>0</v>
      </c>
      <c r="N13" s="223"/>
      <c r="O13" s="226">
        <v>0</v>
      </c>
      <c r="P13" s="222"/>
      <c r="Q13" s="170">
        <v>802740</v>
      </c>
      <c r="R13" s="154"/>
      <c r="S13" s="170">
        <v>1670</v>
      </c>
      <c r="T13" s="222"/>
      <c r="U13" s="170">
        <v>1174314963</v>
      </c>
      <c r="V13" s="154"/>
      <c r="W13" s="170">
        <v>1330213149.066</v>
      </c>
      <c r="X13" s="114"/>
      <c r="Y13" s="285">
        <f>W13/'سرمایه گذاری ها  '!$I$20*100</f>
        <v>1.4933497976127398E-2</v>
      </c>
      <c r="Z13" s="3"/>
      <c r="AA13" s="236">
        <f t="shared" ref="AA13:AA19" si="0">C13+I13+M13-Q13</f>
        <v>0</v>
      </c>
      <c r="AB13" s="3"/>
      <c r="AD13" s="3"/>
      <c r="AM13" s="6"/>
      <c r="AN13" s="3"/>
      <c r="AP13" s="3"/>
      <c r="AR13" s="3"/>
      <c r="AT13" s="3"/>
    </row>
    <row r="14" spans="1:46" s="155" customFormat="1" ht="32.25" customHeight="1" x14ac:dyDescent="0.2">
      <c r="A14" s="169" t="s">
        <v>115</v>
      </c>
      <c r="B14" s="154"/>
      <c r="C14" s="170">
        <v>1426867</v>
      </c>
      <c r="D14" s="170"/>
      <c r="E14" s="225">
        <v>3591006238</v>
      </c>
      <c r="F14" s="222"/>
      <c r="G14" s="225">
        <v>4468382575.8920403</v>
      </c>
      <c r="H14" s="222"/>
      <c r="I14" s="170">
        <v>5518316</v>
      </c>
      <c r="J14" s="154"/>
      <c r="K14" s="170">
        <v>20527082844</v>
      </c>
      <c r="L14" s="222"/>
      <c r="M14" s="226">
        <v>0</v>
      </c>
      <c r="N14" s="223"/>
      <c r="O14" s="226">
        <v>0</v>
      </c>
      <c r="P14" s="222"/>
      <c r="Q14" s="170">
        <v>6945183</v>
      </c>
      <c r="R14" s="154"/>
      <c r="S14" s="170">
        <v>3800</v>
      </c>
      <c r="T14" s="222"/>
      <c r="U14" s="170">
        <v>24118089082</v>
      </c>
      <c r="V14" s="154"/>
      <c r="W14" s="170">
        <v>26187687594.557999</v>
      </c>
      <c r="X14" s="114"/>
      <c r="Y14" s="285">
        <f>W14/'سرمایه گذاری ها  '!$I$20*100</f>
        <v>0.29399331976787191</v>
      </c>
      <c r="Z14" s="3"/>
      <c r="AA14" s="236">
        <f t="shared" si="0"/>
        <v>0</v>
      </c>
      <c r="AB14" s="3"/>
      <c r="AD14" s="3"/>
      <c r="AM14" s="6"/>
      <c r="AN14" s="3"/>
      <c r="AP14" s="3"/>
      <c r="AR14" s="3"/>
      <c r="AT14" s="3"/>
    </row>
    <row r="15" spans="1:46" s="155" customFormat="1" ht="32.25" customHeight="1" x14ac:dyDescent="0.2">
      <c r="A15" s="169" t="s">
        <v>106</v>
      </c>
      <c r="B15" s="154"/>
      <c r="C15" s="170">
        <v>3701443</v>
      </c>
      <c r="D15" s="170"/>
      <c r="E15" s="225">
        <v>95352133147</v>
      </c>
      <c r="F15" s="222"/>
      <c r="G15" s="225">
        <v>56451410097.025703</v>
      </c>
      <c r="H15" s="222"/>
      <c r="I15" s="170">
        <v>9758349</v>
      </c>
      <c r="J15" s="154"/>
      <c r="K15" s="170">
        <v>0</v>
      </c>
      <c r="L15" s="222"/>
      <c r="M15" s="226">
        <v>0</v>
      </c>
      <c r="N15" s="223"/>
      <c r="O15" s="226">
        <v>0</v>
      </c>
      <c r="P15" s="222"/>
      <c r="Q15" s="170">
        <v>13459792</v>
      </c>
      <c r="R15" s="154"/>
      <c r="S15" s="170">
        <v>4287</v>
      </c>
      <c r="T15" s="222"/>
      <c r="U15" s="170">
        <v>95352133147</v>
      </c>
      <c r="V15" s="154"/>
      <c r="W15" s="170">
        <v>57256090852.210098</v>
      </c>
      <c r="X15" s="114"/>
      <c r="Y15" s="285">
        <f>W15/'سرمایه گذاری ها  '!$I$20*100</f>
        <v>0.6427794804635647</v>
      </c>
      <c r="Z15" s="3"/>
      <c r="AA15" s="236">
        <f t="shared" si="0"/>
        <v>0</v>
      </c>
      <c r="AB15" s="3"/>
      <c r="AM15" s="6"/>
      <c r="AN15" s="3"/>
      <c r="AP15" s="3"/>
      <c r="AR15" s="3"/>
      <c r="AT15" s="3"/>
    </row>
    <row r="16" spans="1:46" s="155" customFormat="1" ht="32.25" customHeight="1" x14ac:dyDescent="0.2">
      <c r="A16" s="169" t="s">
        <v>68</v>
      </c>
      <c r="B16" s="154"/>
      <c r="C16" s="170">
        <v>3874434</v>
      </c>
      <c r="D16" s="170"/>
      <c r="E16" s="225">
        <v>4016781767</v>
      </c>
      <c r="F16" s="222"/>
      <c r="G16" s="225">
        <v>5562969252.6354599</v>
      </c>
      <c r="H16" s="222"/>
      <c r="I16" s="170">
        <v>0</v>
      </c>
      <c r="J16" s="154"/>
      <c r="K16" s="170">
        <v>0</v>
      </c>
      <c r="L16" s="222"/>
      <c r="M16" s="226">
        <v>0</v>
      </c>
      <c r="N16" s="223"/>
      <c r="O16" s="226">
        <v>0</v>
      </c>
      <c r="P16" s="222"/>
      <c r="Q16" s="170">
        <v>3874434</v>
      </c>
      <c r="R16" s="154"/>
      <c r="S16" s="170">
        <v>1640</v>
      </c>
      <c r="T16" s="222"/>
      <c r="U16" s="170">
        <v>4016781767</v>
      </c>
      <c r="V16" s="154"/>
      <c r="W16" s="170">
        <v>6304954785.2952003</v>
      </c>
      <c r="X16" s="114"/>
      <c r="Y16" s="285">
        <f>W16/'سرمایه گذاری ها  '!$I$20*100</f>
        <v>7.0781911599574046E-2</v>
      </c>
      <c r="Z16" s="3"/>
      <c r="AA16" s="236">
        <f t="shared" si="0"/>
        <v>0</v>
      </c>
      <c r="AB16" s="3"/>
      <c r="AM16" s="6"/>
      <c r="AN16" s="3"/>
      <c r="AP16" s="3"/>
      <c r="AR16" s="3"/>
      <c r="AT16" s="3"/>
    </row>
    <row r="17" spans="1:46" s="155" customFormat="1" ht="32.25" customHeight="1" x14ac:dyDescent="0.2">
      <c r="A17" s="169" t="s">
        <v>74</v>
      </c>
      <c r="B17" s="154"/>
      <c r="C17" s="170">
        <v>8044125</v>
      </c>
      <c r="D17" s="170"/>
      <c r="E17" s="225">
        <v>110417441000</v>
      </c>
      <c r="F17" s="222"/>
      <c r="G17" s="225">
        <v>98976104530.5</v>
      </c>
      <c r="H17" s="222"/>
      <c r="I17" s="170">
        <v>0</v>
      </c>
      <c r="J17" s="154"/>
      <c r="K17" s="170">
        <v>0</v>
      </c>
      <c r="L17" s="222"/>
      <c r="M17" s="226">
        <v>0</v>
      </c>
      <c r="N17" s="223"/>
      <c r="O17" s="226">
        <v>0</v>
      </c>
      <c r="P17" s="222"/>
      <c r="Q17" s="170">
        <v>8044125</v>
      </c>
      <c r="R17" s="154"/>
      <c r="S17" s="170">
        <v>14190</v>
      </c>
      <c r="T17" s="222"/>
      <c r="U17" s="170">
        <v>110417441000</v>
      </c>
      <c r="V17" s="154"/>
      <c r="W17" s="170">
        <v>113263784136.11301</v>
      </c>
      <c r="X17" s="114"/>
      <c r="Y17" s="285">
        <f>W17/'سرمایه گذاری ها  '!$I$20*100</f>
        <v>1.2715439569611802</v>
      </c>
      <c r="Z17" s="3"/>
      <c r="AA17" s="236"/>
      <c r="AB17" s="3"/>
      <c r="AM17" s="6"/>
      <c r="AN17" s="3"/>
      <c r="AP17" s="3"/>
      <c r="AR17" s="3"/>
      <c r="AT17" s="3"/>
    </row>
    <row r="18" spans="1:46" s="155" customFormat="1" ht="32.25" customHeight="1" x14ac:dyDescent="0.2">
      <c r="A18" s="169" t="s">
        <v>63</v>
      </c>
      <c r="B18" s="154"/>
      <c r="C18" s="170">
        <v>0</v>
      </c>
      <c r="D18" s="170"/>
      <c r="E18" s="225">
        <v>0</v>
      </c>
      <c r="F18" s="222"/>
      <c r="G18" s="225">
        <v>0</v>
      </c>
      <c r="H18" s="222"/>
      <c r="I18" s="170">
        <v>31128119</v>
      </c>
      <c r="J18" s="154"/>
      <c r="K18" s="170">
        <v>56325312621</v>
      </c>
      <c r="L18" s="222"/>
      <c r="M18" s="226">
        <v>0</v>
      </c>
      <c r="N18" s="223"/>
      <c r="O18" s="226">
        <v>0</v>
      </c>
      <c r="P18" s="222"/>
      <c r="Q18" s="170">
        <v>31128119</v>
      </c>
      <c r="R18" s="154"/>
      <c r="S18" s="170">
        <v>1861</v>
      </c>
      <c r="T18" s="222"/>
      <c r="U18" s="170">
        <v>56325312621</v>
      </c>
      <c r="V18" s="154"/>
      <c r="W18" s="170">
        <v>57481634969.281898</v>
      </c>
      <c r="X18" s="114"/>
      <c r="Y18" s="285">
        <f>W18/'سرمایه گذاری ها  '!$I$20*100</f>
        <v>0.64531152776604717</v>
      </c>
      <c r="Z18" s="3"/>
      <c r="AA18" s="236">
        <f t="shared" si="0"/>
        <v>0</v>
      </c>
      <c r="AB18" s="3"/>
      <c r="AM18" s="6"/>
      <c r="AN18" s="3"/>
      <c r="AP18" s="3"/>
      <c r="AR18" s="3"/>
      <c r="AT18" s="3"/>
    </row>
    <row r="19" spans="1:46" s="155" customFormat="1" ht="32.25" customHeight="1" x14ac:dyDescent="0.2">
      <c r="A19" s="169" t="s">
        <v>151</v>
      </c>
      <c r="B19" s="154"/>
      <c r="C19" s="170">
        <v>0</v>
      </c>
      <c r="D19" s="320"/>
      <c r="E19" s="225">
        <v>0</v>
      </c>
      <c r="F19" s="222"/>
      <c r="G19" s="225">
        <v>0</v>
      </c>
      <c r="H19" s="222"/>
      <c r="I19" s="320">
        <v>3624175</v>
      </c>
      <c r="J19" s="154"/>
      <c r="K19" s="320">
        <v>56292408888</v>
      </c>
      <c r="L19" s="222"/>
      <c r="M19" s="226">
        <v>0</v>
      </c>
      <c r="N19" s="223"/>
      <c r="O19" s="226">
        <v>0</v>
      </c>
      <c r="P19" s="222"/>
      <c r="Q19" s="320">
        <v>3624175</v>
      </c>
      <c r="R19" s="154"/>
      <c r="S19" s="320">
        <v>17790</v>
      </c>
      <c r="T19" s="222"/>
      <c r="U19" s="320">
        <v>56292408888</v>
      </c>
      <c r="V19" s="154"/>
      <c r="W19" s="320">
        <v>63975688663.777496</v>
      </c>
      <c r="X19" s="114"/>
      <c r="Y19" s="224">
        <f>W19/'سرمایه گذاری ها  '!$I$20*100</f>
        <v>0.71821633837606536</v>
      </c>
      <c r="Z19" s="3"/>
      <c r="AA19" s="236">
        <f t="shared" si="0"/>
        <v>0</v>
      </c>
      <c r="AB19" s="3"/>
      <c r="AD19" s="3"/>
      <c r="AM19" s="6"/>
      <c r="AN19" s="3"/>
      <c r="AP19" s="3"/>
      <c r="AR19" s="3"/>
      <c r="AT19" s="3"/>
    </row>
    <row r="20" spans="1:46" ht="25.5" customHeight="1" thickBot="1" x14ac:dyDescent="0.5">
      <c r="B20" s="151"/>
      <c r="C20" s="240"/>
      <c r="D20" s="154"/>
      <c r="E20" s="227">
        <f>SUBTOTAL(9,E12:E19)</f>
        <v>226032074997</v>
      </c>
      <c r="F20" s="241"/>
      <c r="G20" s="227">
        <f>SUBTOTAL(9,G12:G19)</f>
        <v>178798430915.70981</v>
      </c>
      <c r="H20" s="241"/>
      <c r="I20" s="228"/>
      <c r="J20" s="241"/>
      <c r="K20" s="229">
        <f>SUBTOTAL(9,K12:K19)</f>
        <v>133144804353</v>
      </c>
      <c r="L20" s="241"/>
      <c r="M20" s="228"/>
      <c r="N20" s="241"/>
      <c r="O20" s="229">
        <f>SUBTOTAL(9,O12:O19)</f>
        <v>0</v>
      </c>
      <c r="P20" s="241"/>
      <c r="Q20" s="228"/>
      <c r="R20" s="241"/>
      <c r="S20" s="228"/>
      <c r="T20" s="241"/>
      <c r="U20" s="227">
        <f>SUBTOTAL(9,U12:U19)</f>
        <v>359176879350</v>
      </c>
      <c r="V20" s="241"/>
      <c r="W20" s="227">
        <f>SUBTOTAL(9,W12:W19)</f>
        <v>340198884120.30176</v>
      </c>
      <c r="X20" s="230"/>
      <c r="Y20" s="231">
        <f>SUBTOTAL(9,Y12:Y19)</f>
        <v>3.8192069827745003</v>
      </c>
      <c r="AD20" s="55">
        <v>359176879350</v>
      </c>
    </row>
    <row r="21" spans="1:46" ht="19.5" thickTop="1" x14ac:dyDescent="0.45">
      <c r="B21" s="151"/>
      <c r="D21" s="151"/>
      <c r="F21" s="151"/>
      <c r="H21" s="151"/>
      <c r="J21" s="151"/>
      <c r="L21" s="151"/>
      <c r="N21" s="151"/>
      <c r="P21" s="151"/>
      <c r="R21" s="151"/>
      <c r="T21" s="151"/>
      <c r="V21" s="151"/>
      <c r="X21" s="114"/>
      <c r="AD21" s="55">
        <v>18977995232</v>
      </c>
    </row>
    <row r="22" spans="1:46" ht="18.75" x14ac:dyDescent="0.45">
      <c r="J22" s="83"/>
      <c r="L22" s="151"/>
      <c r="N22" s="151"/>
      <c r="R22" s="151"/>
      <c r="T22" s="151"/>
      <c r="V22" s="151"/>
      <c r="W22" s="55"/>
      <c r="X22" s="114"/>
    </row>
    <row r="23" spans="1:46" ht="18.75" hidden="1" x14ac:dyDescent="0.45">
      <c r="G23" s="55">
        <v>111749044973</v>
      </c>
      <c r="J23" s="83"/>
      <c r="W23" s="55">
        <v>212001960553</v>
      </c>
    </row>
    <row r="24" spans="1:46" hidden="1" x14ac:dyDescent="0.45">
      <c r="G24" s="55">
        <v>-8981258954</v>
      </c>
      <c r="W24" s="55">
        <v>-25587591038</v>
      </c>
    </row>
    <row r="25" spans="1:46" hidden="1" x14ac:dyDescent="0.45">
      <c r="G25" s="55">
        <f>SUM(G23:G24)</f>
        <v>102767786019</v>
      </c>
      <c r="W25" s="55">
        <f>SUM(W23:W24)</f>
        <v>186414369515</v>
      </c>
    </row>
    <row r="26" spans="1:46" hidden="1" x14ac:dyDescent="0.45">
      <c r="G26" s="55">
        <f>G20-G25</f>
        <v>76030644896.709808</v>
      </c>
      <c r="W26" s="55">
        <f>W20-W25</f>
        <v>153784514605.30176</v>
      </c>
    </row>
    <row r="27" spans="1:46" hidden="1" x14ac:dyDescent="0.45"/>
    <row r="28" spans="1:46" hidden="1" x14ac:dyDescent="0.45">
      <c r="E28" s="55">
        <v>212001960553</v>
      </c>
      <c r="G28" s="55">
        <v>212001960553</v>
      </c>
      <c r="U28" s="55">
        <v>212001958036</v>
      </c>
      <c r="W28" s="55">
        <v>212001958036</v>
      </c>
    </row>
    <row r="29" spans="1:46" hidden="1" x14ac:dyDescent="0.45">
      <c r="E29" s="55">
        <f>E20-E28</f>
        <v>14030114444</v>
      </c>
      <c r="G29" s="55">
        <v>-36730301215</v>
      </c>
      <c r="U29" s="55">
        <f>U20-U28</f>
        <v>147174921314</v>
      </c>
      <c r="W29" s="55">
        <v>-45698420851</v>
      </c>
    </row>
    <row r="30" spans="1:46" hidden="1" x14ac:dyDescent="0.45">
      <c r="G30" s="55">
        <f>G20-G28-G29</f>
        <v>3526771577.7098083</v>
      </c>
      <c r="W30" s="55">
        <f>W20-W28-W29</f>
        <v>173895346935.30176</v>
      </c>
    </row>
    <row r="31" spans="1:46" x14ac:dyDescent="0.45">
      <c r="AD31" s="55">
        <f>AD20-AD21</f>
        <v>340198884118</v>
      </c>
    </row>
    <row r="32" spans="1:46" x14ac:dyDescent="0.45">
      <c r="A32" s="316"/>
    </row>
    <row r="33" spans="1:1" x14ac:dyDescent="0.45">
      <c r="A33" s="316"/>
    </row>
    <row r="34" spans="1:1" x14ac:dyDescent="0.45">
      <c r="A34" s="316"/>
    </row>
    <row r="35" spans="1:1" x14ac:dyDescent="0.45">
      <c r="A35" s="316"/>
    </row>
    <row r="36" spans="1:1" x14ac:dyDescent="0.45">
      <c r="A36" s="316"/>
    </row>
    <row r="37" spans="1:1" x14ac:dyDescent="0.45">
      <c r="A37" s="316"/>
    </row>
    <row r="38" spans="1:1" x14ac:dyDescent="0.45">
      <c r="A38" s="316"/>
    </row>
    <row r="39" spans="1:1" x14ac:dyDescent="0.45">
      <c r="A39" s="316"/>
    </row>
    <row r="40" spans="1:1" x14ac:dyDescent="0.45">
      <c r="A40" s="316"/>
    </row>
    <row r="41" spans="1:1" x14ac:dyDescent="0.45">
      <c r="A41" s="316"/>
    </row>
    <row r="42" spans="1:1" x14ac:dyDescent="0.45">
      <c r="A42" s="316"/>
    </row>
  </sheetData>
  <mergeCells count="19">
    <mergeCell ref="A1:Y1"/>
    <mergeCell ref="A2:Y2"/>
    <mergeCell ref="A3:Y3"/>
    <mergeCell ref="A5:Y5"/>
    <mergeCell ref="A6:Y6"/>
    <mergeCell ref="C8:G8"/>
    <mergeCell ref="I8:O8"/>
    <mergeCell ref="Q8:Y8"/>
    <mergeCell ref="A9:A10"/>
    <mergeCell ref="C9:C10"/>
    <mergeCell ref="E9:E10"/>
    <mergeCell ref="G9:G10"/>
    <mergeCell ref="I9:K9"/>
    <mergeCell ref="Q9:Q10"/>
    <mergeCell ref="S9:S10"/>
    <mergeCell ref="U9:U10"/>
    <mergeCell ref="W9:W10"/>
    <mergeCell ref="Y9:Y10"/>
    <mergeCell ref="M9:O9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6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0"/>
  <sheetViews>
    <sheetView rightToLeft="1" view="pageBreakPreview" zoomScale="85" zoomScaleNormal="100" zoomScaleSheetLayoutView="85" workbookViewId="0">
      <selection activeCell="AB1" sqref="AB1:AC1048576"/>
    </sheetView>
  </sheetViews>
  <sheetFormatPr defaultColWidth="9.125" defaultRowHeight="18" x14ac:dyDescent="0.45"/>
  <cols>
    <col min="1" max="1" width="24.625" style="45" bestFit="1" customWidth="1"/>
    <col min="2" max="2" width="1.375" style="45" customWidth="1"/>
    <col min="3" max="3" width="11.75" style="45" bestFit="1" customWidth="1"/>
    <col min="4" max="4" width="0.875" style="45" customWidth="1"/>
    <col min="5" max="5" width="15.625" style="45" customWidth="1"/>
    <col min="6" max="6" width="1.375" style="45" customWidth="1"/>
    <col min="7" max="7" width="15.25" style="45" customWidth="1"/>
    <col min="8" max="8" width="0.875" style="45" customWidth="1"/>
    <col min="9" max="9" width="10.625" style="45" bestFit="1" customWidth="1"/>
    <col min="10" max="10" width="0.75" style="45" customWidth="1"/>
    <col min="11" max="11" width="15.125" style="45" bestFit="1" customWidth="1"/>
    <col min="12" max="12" width="0.625" style="45" customWidth="1"/>
    <col min="13" max="13" width="13.25" style="45" customWidth="1"/>
    <col min="14" max="14" width="1.125" style="45" customWidth="1"/>
    <col min="15" max="15" width="20.125" style="45" customWidth="1"/>
    <col min="16" max="16" width="0.875" style="45" customWidth="1"/>
    <col min="17" max="17" width="11.75" style="45" bestFit="1" customWidth="1"/>
    <col min="18" max="18" width="1" style="45" customWidth="1"/>
    <col min="19" max="19" width="9.375" style="45" customWidth="1"/>
    <col min="20" max="20" width="0.875" style="45" customWidth="1"/>
    <col min="21" max="21" width="14.875" style="45" customWidth="1"/>
    <col min="22" max="22" width="0.75" style="45" customWidth="1"/>
    <col min="23" max="23" width="15.625" style="45" customWidth="1"/>
    <col min="24" max="24" width="1" style="45" customWidth="1"/>
    <col min="25" max="25" width="11.125" style="45" customWidth="1"/>
    <col min="26" max="26" width="1.625" style="45" customWidth="1"/>
    <col min="27" max="27" width="14.375" style="45" bestFit="1" customWidth="1"/>
    <col min="28" max="28" width="0" style="45" hidden="1" customWidth="1"/>
    <col min="29" max="29" width="15.375" style="45" hidden="1" customWidth="1"/>
    <col min="30" max="16384" width="9.125" style="45"/>
  </cols>
  <sheetData>
    <row r="1" spans="1:29" ht="30" customHeight="1" x14ac:dyDescent="0.45">
      <c r="A1" s="344" t="str">
        <f>تیتر!B1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</row>
    <row r="2" spans="1:29" ht="30" customHeight="1" x14ac:dyDescent="0.45">
      <c r="A2" s="344" t="str">
        <f>تیتر!B2</f>
        <v>صورت وضعیت پورتفوی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</row>
    <row r="3" spans="1:29" ht="30" customHeight="1" x14ac:dyDescent="0.45">
      <c r="A3" s="344" t="str">
        <f>تیتر!B3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</row>
    <row r="4" spans="1:29" ht="33" customHeight="1" x14ac:dyDescent="0.45"/>
    <row r="5" spans="1:29" s="56" customFormat="1" ht="33" customHeight="1" x14ac:dyDescent="0.55000000000000004">
      <c r="A5" s="347" t="s">
        <v>94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</row>
    <row r="6" spans="1:29" ht="28.5" customHeight="1" x14ac:dyDescent="0.45"/>
    <row r="7" spans="1:29" ht="30.75" customHeight="1" x14ac:dyDescent="0.45">
      <c r="C7" s="353" t="str">
        <f>تیتر!A5</f>
        <v>1404/04/31</v>
      </c>
      <c r="D7" s="354"/>
      <c r="E7" s="354"/>
      <c r="F7" s="354"/>
      <c r="G7" s="354"/>
      <c r="H7" s="46"/>
      <c r="I7" s="363" t="s">
        <v>0</v>
      </c>
      <c r="J7" s="363"/>
      <c r="K7" s="364"/>
      <c r="L7" s="364"/>
      <c r="M7" s="364"/>
      <c r="N7" s="364"/>
      <c r="O7" s="364"/>
      <c r="Q7" s="353" t="str">
        <f>تیتر!B5</f>
        <v>1405/05/31</v>
      </c>
      <c r="R7" s="354"/>
      <c r="S7" s="354"/>
      <c r="T7" s="354"/>
      <c r="U7" s="354"/>
      <c r="V7" s="354"/>
      <c r="W7" s="354"/>
      <c r="X7" s="354"/>
      <c r="Y7" s="354"/>
    </row>
    <row r="8" spans="1:29" s="135" customFormat="1" ht="26.25" customHeight="1" x14ac:dyDescent="0.5">
      <c r="A8" s="365" t="s">
        <v>12</v>
      </c>
      <c r="C8" s="365" t="s">
        <v>2</v>
      </c>
      <c r="E8" s="365" t="s">
        <v>3</v>
      </c>
      <c r="G8" s="365" t="s">
        <v>4</v>
      </c>
      <c r="H8" s="136"/>
      <c r="I8" s="367" t="s">
        <v>5</v>
      </c>
      <c r="J8" s="367"/>
      <c r="K8" s="368"/>
      <c r="M8" s="367" t="s">
        <v>6</v>
      </c>
      <c r="N8" s="367"/>
      <c r="O8" s="368"/>
      <c r="Q8" s="365" t="s">
        <v>2</v>
      </c>
      <c r="S8" s="366" t="s">
        <v>13</v>
      </c>
      <c r="U8" s="365" t="s">
        <v>3</v>
      </c>
      <c r="W8" s="365" t="s">
        <v>4</v>
      </c>
      <c r="Y8" s="366" t="s">
        <v>8</v>
      </c>
    </row>
    <row r="9" spans="1:29" s="140" customFormat="1" ht="32.25" customHeight="1" x14ac:dyDescent="0.55000000000000004">
      <c r="A9" s="335"/>
      <c r="C9" s="335"/>
      <c r="E9" s="335"/>
      <c r="G9" s="335"/>
      <c r="H9" s="108"/>
      <c r="I9" s="137" t="s">
        <v>2</v>
      </c>
      <c r="J9" s="137"/>
      <c r="K9" s="137" t="s">
        <v>3</v>
      </c>
      <c r="M9" s="137" t="s">
        <v>2</v>
      </c>
      <c r="N9" s="137"/>
      <c r="O9" s="137" t="s">
        <v>9</v>
      </c>
      <c r="Q9" s="335"/>
      <c r="S9" s="335"/>
      <c r="U9" s="335"/>
      <c r="W9" s="335"/>
      <c r="Y9" s="335"/>
    </row>
    <row r="10" spans="1:29" s="140" customFormat="1" ht="21" customHeight="1" x14ac:dyDescent="0.55000000000000004">
      <c r="A10" s="304"/>
      <c r="C10" s="304"/>
      <c r="E10" s="312" t="s">
        <v>47</v>
      </c>
      <c r="F10" s="131"/>
      <c r="G10" s="312" t="s">
        <v>47</v>
      </c>
      <c r="H10" s="106"/>
      <c r="I10" s="312"/>
      <c r="J10" s="312"/>
      <c r="K10" s="312" t="s">
        <v>47</v>
      </c>
      <c r="L10" s="131"/>
      <c r="M10" s="312"/>
      <c r="N10" s="312"/>
      <c r="O10" s="312" t="s">
        <v>47</v>
      </c>
      <c r="P10" s="131"/>
      <c r="Q10" s="312"/>
      <c r="R10" s="131"/>
      <c r="S10" s="312" t="s">
        <v>47</v>
      </c>
      <c r="T10" s="131"/>
      <c r="U10" s="312" t="s">
        <v>47</v>
      </c>
      <c r="V10" s="131"/>
      <c r="W10" s="312" t="s">
        <v>47</v>
      </c>
      <c r="X10" s="131"/>
      <c r="Y10" s="312"/>
    </row>
    <row r="11" spans="1:29" ht="33.75" customHeight="1" x14ac:dyDescent="0.45">
      <c r="A11" s="305" t="s">
        <v>112</v>
      </c>
      <c r="B11" s="283"/>
      <c r="C11" s="306">
        <v>363161</v>
      </c>
      <c r="D11" s="306"/>
      <c r="E11" s="307">
        <v>15419563891</v>
      </c>
      <c r="F11" s="308"/>
      <c r="G11" s="307">
        <v>18549231903.5443</v>
      </c>
      <c r="H11" s="308"/>
      <c r="I11" s="309">
        <v>28679</v>
      </c>
      <c r="J11" s="308"/>
      <c r="K11" s="309">
        <v>1476451609</v>
      </c>
      <c r="L11" s="308"/>
      <c r="M11" s="309">
        <v>-391840</v>
      </c>
      <c r="N11" s="308"/>
      <c r="O11" s="307">
        <v>20158609423</v>
      </c>
      <c r="P11" s="308"/>
      <c r="Q11" s="309">
        <v>0</v>
      </c>
      <c r="R11" s="308"/>
      <c r="S11" s="309">
        <v>0</v>
      </c>
      <c r="T11" s="308"/>
      <c r="U11" s="309">
        <v>0</v>
      </c>
      <c r="V11" s="308"/>
      <c r="W11" s="309">
        <v>0</v>
      </c>
      <c r="X11" s="310"/>
      <c r="Y11" s="311">
        <f>W11/'سرمایه گذاری ها  '!$I$20*100</f>
        <v>0</v>
      </c>
      <c r="AA11" s="55">
        <f>C11+I11+M11-Q11</f>
        <v>0</v>
      </c>
      <c r="AC11" s="3">
        <v>869841032122</v>
      </c>
    </row>
    <row r="12" spans="1:29" ht="33.75" customHeight="1" x14ac:dyDescent="0.45">
      <c r="A12" s="270" t="s">
        <v>148</v>
      </c>
      <c r="B12" s="170"/>
      <c r="C12" s="277">
        <v>7082621</v>
      </c>
      <c r="D12" s="277"/>
      <c r="E12" s="171">
        <v>750276548012</v>
      </c>
      <c r="F12" s="158"/>
      <c r="G12" s="171">
        <v>749730503067.61096</v>
      </c>
      <c r="H12" s="158"/>
      <c r="I12" s="252">
        <v>1883325</v>
      </c>
      <c r="J12" s="158"/>
      <c r="K12" s="252">
        <v>199999971494</v>
      </c>
      <c r="L12" s="158"/>
      <c r="M12" s="252">
        <v>-2050694</v>
      </c>
      <c r="N12" s="158"/>
      <c r="O12" s="171">
        <v>221099709356</v>
      </c>
      <c r="P12" s="158"/>
      <c r="Q12" s="252">
        <v>6915252</v>
      </c>
      <c r="R12" s="158"/>
      <c r="S12" s="252">
        <v>108732</v>
      </c>
      <c r="T12" s="158"/>
      <c r="U12" s="252">
        <v>732928973926</v>
      </c>
      <c r="V12" s="158"/>
      <c r="W12" s="252">
        <v>751631913953.70398</v>
      </c>
      <c r="X12" s="216"/>
      <c r="Y12" s="311">
        <f>W12/'سرمایه گذاری ها  '!$I$20*100</f>
        <v>8.4381166083808452</v>
      </c>
      <c r="AA12" s="55">
        <f>C12+I12+M12-Q12</f>
        <v>0</v>
      </c>
      <c r="AC12" s="3">
        <v>89038036753</v>
      </c>
    </row>
    <row r="13" spans="1:29" ht="33.75" customHeight="1" x14ac:dyDescent="0.45">
      <c r="A13" s="270" t="s">
        <v>128</v>
      </c>
      <c r="B13" s="170"/>
      <c r="C13" s="277">
        <v>221926</v>
      </c>
      <c r="D13" s="277"/>
      <c r="E13" s="171">
        <v>6067918152</v>
      </c>
      <c r="F13" s="158"/>
      <c r="G13" s="171">
        <v>6495597144.9779997</v>
      </c>
      <c r="H13" s="158"/>
      <c r="I13" s="252">
        <v>0</v>
      </c>
      <c r="J13" s="158"/>
      <c r="K13" s="252">
        <v>0</v>
      </c>
      <c r="L13" s="158"/>
      <c r="M13" s="252">
        <v>-221926</v>
      </c>
      <c r="N13" s="158"/>
      <c r="O13" s="171">
        <v>6501365095</v>
      </c>
      <c r="P13" s="158"/>
      <c r="Q13" s="252">
        <v>0</v>
      </c>
      <c r="R13" s="158"/>
      <c r="S13" s="252">
        <v>0</v>
      </c>
      <c r="T13" s="158"/>
      <c r="U13" s="252">
        <v>0</v>
      </c>
      <c r="V13" s="158"/>
      <c r="W13" s="252">
        <v>0</v>
      </c>
      <c r="X13" s="216"/>
      <c r="Y13" s="311">
        <f>W13/'سرمایه گذاری ها  '!$I$20*100</f>
        <v>0</v>
      </c>
      <c r="AA13" s="55">
        <f>C13+I13+M13-Q13</f>
        <v>0</v>
      </c>
      <c r="AC13" s="3"/>
    </row>
    <row r="14" spans="1:29" ht="33.75" customHeight="1" x14ac:dyDescent="0.45">
      <c r="A14" s="270" t="s">
        <v>101</v>
      </c>
      <c r="B14" s="170"/>
      <c r="C14" s="277">
        <v>12595074</v>
      </c>
      <c r="D14" s="277"/>
      <c r="E14" s="171">
        <v>149033260203</v>
      </c>
      <c r="F14" s="158"/>
      <c r="G14" s="171">
        <v>219665224646.07101</v>
      </c>
      <c r="H14" s="158"/>
      <c r="I14" s="252">
        <v>0</v>
      </c>
      <c r="J14" s="158"/>
      <c r="K14" s="252">
        <v>0</v>
      </c>
      <c r="L14" s="158"/>
      <c r="M14" s="252">
        <v>-1024385</v>
      </c>
      <c r="N14" s="158"/>
      <c r="O14" s="171">
        <v>17999999585</v>
      </c>
      <c r="P14" s="158"/>
      <c r="Q14" s="252">
        <v>11570689</v>
      </c>
      <c r="R14" s="158"/>
      <c r="S14" s="252">
        <v>17918</v>
      </c>
      <c r="T14" s="158"/>
      <c r="U14" s="252">
        <v>136912058196</v>
      </c>
      <c r="V14" s="158"/>
      <c r="W14" s="252">
        <v>207247154922.47101</v>
      </c>
      <c r="X14" s="216"/>
      <c r="Y14" s="311">
        <f>W14/'سرمایه گذاری ها  '!$I$20*100</f>
        <v>2.3266383818006626</v>
      </c>
      <c r="AA14" s="55">
        <f>C14+I14+M14-Q14</f>
        <v>0</v>
      </c>
      <c r="AC14" s="3">
        <f>SUM(AC11:AC13)</f>
        <v>958879068875</v>
      </c>
    </row>
    <row r="15" spans="1:29" ht="30" customHeight="1" thickBot="1" x14ac:dyDescent="0.5">
      <c r="A15" s="7"/>
      <c r="C15" s="181"/>
      <c r="D15" s="163"/>
      <c r="E15" s="164">
        <f>SUM(E11:E14)</f>
        <v>920797290258</v>
      </c>
      <c r="F15" s="163"/>
      <c r="G15" s="164">
        <f>SUM(G11:G14)</f>
        <v>994440556762.20435</v>
      </c>
      <c r="H15" s="162"/>
      <c r="I15" s="181"/>
      <c r="J15" s="162"/>
      <c r="K15" s="164">
        <f>SUM(K11:K14)</f>
        <v>201476423103</v>
      </c>
      <c r="L15" s="162"/>
      <c r="M15" s="181"/>
      <c r="N15" s="162"/>
      <c r="O15" s="164">
        <f>SUM(O11:O14)</f>
        <v>265759683459</v>
      </c>
      <c r="P15" s="165"/>
      <c r="Q15" s="181"/>
      <c r="R15" s="163"/>
      <c r="S15" s="181"/>
      <c r="T15" s="163"/>
      <c r="U15" s="164">
        <f>SUM(U11:U14)</f>
        <v>869841032122</v>
      </c>
      <c r="V15" s="163"/>
      <c r="W15" s="164">
        <f>SUM(W11:W14)</f>
        <v>958879068876.17505</v>
      </c>
      <c r="X15" s="163"/>
      <c r="Y15" s="166">
        <f>SUM(Y11:Y14)</f>
        <v>10.764754990181508</v>
      </c>
    </row>
    <row r="16" spans="1:29" ht="19.5" thickTop="1" x14ac:dyDescent="0.45">
      <c r="C16" s="3"/>
      <c r="E16" s="3"/>
      <c r="G16" s="3"/>
      <c r="H16" s="3"/>
      <c r="I16" s="3"/>
      <c r="J16" s="3"/>
      <c r="K16" s="3"/>
      <c r="L16" s="3"/>
      <c r="M16" s="3"/>
      <c r="N16" s="3"/>
      <c r="O16" s="3"/>
      <c r="Q16" s="3"/>
      <c r="S16" s="3"/>
      <c r="U16" s="3"/>
      <c r="W16" s="3"/>
      <c r="Y16" s="3"/>
    </row>
    <row r="17" spans="1:23" hidden="1" x14ac:dyDescent="0.45">
      <c r="G17" s="55">
        <v>2015484271897</v>
      </c>
      <c r="W17" s="55">
        <v>1668030084105</v>
      </c>
    </row>
    <row r="18" spans="1:23" hidden="1" x14ac:dyDescent="0.45">
      <c r="G18" s="55">
        <v>273719808531</v>
      </c>
      <c r="W18" s="55">
        <v>318373775019</v>
      </c>
    </row>
    <row r="19" spans="1:23" hidden="1" x14ac:dyDescent="0.45">
      <c r="G19" s="55">
        <f>SUM(G17:G18)</f>
        <v>2289204080428</v>
      </c>
      <c r="W19" s="55">
        <f>W17+W18</f>
        <v>1986403859124</v>
      </c>
    </row>
    <row r="20" spans="1:23" hidden="1" x14ac:dyDescent="0.45">
      <c r="G20" s="55">
        <f>G15-G19</f>
        <v>-1294763523665.7957</v>
      </c>
      <c r="W20" s="99">
        <f>W15-W19</f>
        <v>-1027524790247.825</v>
      </c>
    </row>
    <row r="21" spans="1:23" hidden="1" x14ac:dyDescent="0.45">
      <c r="G21" s="55"/>
    </row>
    <row r="22" spans="1:23" hidden="1" x14ac:dyDescent="0.45"/>
    <row r="23" spans="1:23" hidden="1" x14ac:dyDescent="0.45">
      <c r="E23" s="55">
        <v>1625156626746</v>
      </c>
      <c r="G23" s="55">
        <v>1625156626746</v>
      </c>
      <c r="U23" s="55">
        <v>1625156626746</v>
      </c>
      <c r="W23" s="55">
        <v>1625156626746</v>
      </c>
    </row>
    <row r="24" spans="1:23" hidden="1" x14ac:dyDescent="0.45">
      <c r="E24" s="99">
        <f>E15-E23</f>
        <v>-704359336488</v>
      </c>
      <c r="G24" s="55">
        <v>362353236174</v>
      </c>
      <c r="U24" s="99">
        <f>U15-U23</f>
        <v>-755315594624</v>
      </c>
      <c r="W24" s="55">
        <v>409083518228</v>
      </c>
    </row>
    <row r="25" spans="1:23" hidden="1" x14ac:dyDescent="0.45">
      <c r="G25" s="99">
        <f>G15-G23-G24</f>
        <v>-993069306157.79565</v>
      </c>
      <c r="W25" s="99">
        <f>W15-W23-W24</f>
        <v>-1075361076097.825</v>
      </c>
    </row>
    <row r="28" spans="1:23" x14ac:dyDescent="0.45">
      <c r="A28" s="268"/>
    </row>
    <row r="29" spans="1:23" x14ac:dyDescent="0.45">
      <c r="A29" s="268"/>
    </row>
    <row r="30" spans="1:23" x14ac:dyDescent="0.45">
      <c r="A30" s="268"/>
    </row>
    <row r="31" spans="1:23" x14ac:dyDescent="0.45">
      <c r="A31" s="268"/>
    </row>
    <row r="32" spans="1:23" x14ac:dyDescent="0.45">
      <c r="A32" s="268"/>
    </row>
    <row r="33" spans="1:1" x14ac:dyDescent="0.45">
      <c r="A33" s="268"/>
    </row>
    <row r="34" spans="1:1" x14ac:dyDescent="0.45">
      <c r="A34" s="268"/>
    </row>
    <row r="35" spans="1:1" x14ac:dyDescent="0.45">
      <c r="A35" s="268"/>
    </row>
    <row r="36" spans="1:1" x14ac:dyDescent="0.45">
      <c r="A36" s="268"/>
    </row>
    <row r="37" spans="1:1" x14ac:dyDescent="0.45">
      <c r="A37" s="268"/>
    </row>
    <row r="38" spans="1:1" x14ac:dyDescent="0.45">
      <c r="A38" s="268"/>
    </row>
    <row r="39" spans="1:1" x14ac:dyDescent="0.45">
      <c r="A39" s="268"/>
    </row>
    <row r="40" spans="1:1" x14ac:dyDescent="0.45">
      <c r="A40" s="268"/>
    </row>
  </sheetData>
  <mergeCells count="18">
    <mergeCell ref="A8:A9"/>
    <mergeCell ref="Y8:Y9"/>
    <mergeCell ref="W8:W9"/>
    <mergeCell ref="Q8:Q9"/>
    <mergeCell ref="S8:S9"/>
    <mergeCell ref="U8:U9"/>
    <mergeCell ref="C8:C9"/>
    <mergeCell ref="E8:E9"/>
    <mergeCell ref="G8:G9"/>
    <mergeCell ref="I8:K8"/>
    <mergeCell ref="M8:O8"/>
    <mergeCell ref="A1:Y1"/>
    <mergeCell ref="A2:Y2"/>
    <mergeCell ref="A3:Y3"/>
    <mergeCell ref="A5:Y5"/>
    <mergeCell ref="C7:G7"/>
    <mergeCell ref="Q7:Y7"/>
    <mergeCell ref="I7:O7"/>
  </mergeCells>
  <printOptions horizontalCentered="1"/>
  <pageMargins left="0" right="0.31496062992125984" top="0.55118110236220474" bottom="0.55118110236220474" header="0.31496062992125984" footer="0.31496062992125984"/>
  <pageSetup paperSize="9"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25"/>
  <sheetViews>
    <sheetView rightToLeft="1" view="pageBreakPreview" zoomScaleNormal="100" zoomScaleSheetLayoutView="100" workbookViewId="0">
      <selection activeCell="I14" sqref="I14"/>
    </sheetView>
  </sheetViews>
  <sheetFormatPr defaultColWidth="9.125" defaultRowHeight="18" x14ac:dyDescent="0.45"/>
  <cols>
    <col min="1" max="1" width="24" style="45" customWidth="1"/>
    <col min="2" max="2" width="1.375" style="45" customWidth="1"/>
    <col min="3" max="3" width="19.375" style="45" bestFit="1" customWidth="1"/>
    <col min="4" max="4" width="1.125" style="45" customWidth="1"/>
    <col min="5" max="5" width="18.375" style="45" customWidth="1"/>
    <col min="6" max="6" width="0.875" style="45" customWidth="1"/>
    <col min="7" max="7" width="18.375" style="45" customWidth="1"/>
    <col min="8" max="8" width="1" style="45" customWidth="1"/>
    <col min="9" max="9" width="18.25" style="45" customWidth="1"/>
    <col min="10" max="10" width="0.625" style="45" customWidth="1"/>
    <col min="11" max="11" width="15.625" style="45" customWidth="1"/>
    <col min="12" max="12" width="1" style="45" customWidth="1"/>
    <col min="13" max="16384" width="9.125" style="45"/>
  </cols>
  <sheetData>
    <row r="1" spans="1:13" ht="27" customHeight="1" x14ac:dyDescent="0.45">
      <c r="A1" s="344" t="str">
        <f>تیتر!B1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</row>
    <row r="2" spans="1:13" ht="27" customHeight="1" x14ac:dyDescent="0.45">
      <c r="A2" s="344" t="str">
        <f>تیتر!B2</f>
        <v>صورت وضعیت پورتفوی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</row>
    <row r="3" spans="1:13" ht="27" customHeight="1" x14ac:dyDescent="0.45">
      <c r="A3" s="344" t="str">
        <f>تیتر!B3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</row>
    <row r="4" spans="1:13" ht="32.25" customHeight="1" x14ac:dyDescent="0.45"/>
    <row r="5" spans="1:13" ht="21" x14ac:dyDescent="0.45">
      <c r="A5" s="369" t="s">
        <v>95</v>
      </c>
      <c r="B5" s="345"/>
      <c r="C5" s="345"/>
      <c r="D5" s="345"/>
      <c r="E5" s="345"/>
      <c r="F5" s="345"/>
      <c r="G5" s="345"/>
      <c r="H5" s="345"/>
      <c r="I5" s="345"/>
      <c r="J5" s="345"/>
      <c r="K5" s="345"/>
    </row>
    <row r="7" spans="1:13" ht="21" x14ac:dyDescent="0.45">
      <c r="C7" s="370" t="str">
        <f>تیتر!A5</f>
        <v>1404/04/31</v>
      </c>
      <c r="E7" s="353" t="s">
        <v>0</v>
      </c>
      <c r="F7" s="354"/>
      <c r="G7" s="354"/>
      <c r="I7" s="370" t="str">
        <f>تیتر!B5</f>
        <v>1405/05/31</v>
      </c>
      <c r="J7" s="370"/>
      <c r="K7" s="370"/>
    </row>
    <row r="8" spans="1:13" ht="27" customHeight="1" x14ac:dyDescent="0.45">
      <c r="A8" s="5" t="s">
        <v>40</v>
      </c>
      <c r="C8" s="371"/>
      <c r="E8" s="127" t="s">
        <v>14</v>
      </c>
      <c r="G8" s="127" t="s">
        <v>15</v>
      </c>
      <c r="I8" s="371"/>
      <c r="J8" s="371"/>
      <c r="K8" s="371"/>
    </row>
    <row r="9" spans="1:13" ht="23.25" customHeight="1" x14ac:dyDescent="0.45">
      <c r="A9" s="47"/>
      <c r="C9" s="3" t="s">
        <v>57</v>
      </c>
      <c r="E9" s="3" t="s">
        <v>57</v>
      </c>
      <c r="G9" s="3" t="s">
        <v>57</v>
      </c>
      <c r="I9" s="3" t="s">
        <v>57</v>
      </c>
      <c r="K9" s="3" t="s">
        <v>58</v>
      </c>
    </row>
    <row r="10" spans="1:13" ht="35.25" customHeight="1" x14ac:dyDescent="0.45">
      <c r="A10" s="108" t="s">
        <v>125</v>
      </c>
      <c r="C10" s="98">
        <v>756879333195</v>
      </c>
      <c r="E10" s="98">
        <v>198664885713</v>
      </c>
      <c r="G10" s="98">
        <v>944612361000</v>
      </c>
      <c r="H10" s="98"/>
      <c r="I10" s="98">
        <f>C10+E10-G10</f>
        <v>10931857908</v>
      </c>
      <c r="K10" s="141">
        <f>I10/'سرمایه گذاری ها  '!$I$20*100</f>
        <v>0.12272535274444984</v>
      </c>
    </row>
    <row r="11" spans="1:13" s="264" customFormat="1" ht="35.25" customHeight="1" x14ac:dyDescent="0.45">
      <c r="A11" s="108" t="s">
        <v>126</v>
      </c>
      <c r="C11" s="98">
        <v>3412080753</v>
      </c>
      <c r="E11" s="98">
        <v>1024492063731</v>
      </c>
      <c r="G11" s="98">
        <v>1026734001652</v>
      </c>
      <c r="H11" s="98"/>
      <c r="I11" s="98">
        <f>C11+E11-G11</f>
        <v>1170142832</v>
      </c>
      <c r="K11" s="141">
        <f>I11/'سرمایه گذاری ها  '!$I$20*100</f>
        <v>1.3136485401397106E-2</v>
      </c>
    </row>
    <row r="12" spans="1:13" s="264" customFormat="1" ht="35.25" customHeight="1" x14ac:dyDescent="0.45">
      <c r="A12" s="108" t="s">
        <v>127</v>
      </c>
      <c r="C12" s="98">
        <v>5138659216</v>
      </c>
      <c r="E12" s="98">
        <v>444071072623</v>
      </c>
      <c r="G12" s="98">
        <v>423002075000</v>
      </c>
      <c r="H12" s="98"/>
      <c r="I12" s="98">
        <f>C12+E12-G12</f>
        <v>26207656839</v>
      </c>
      <c r="K12" s="141">
        <f>I12/'سرمایه گذاری ها  '!$I$20*100</f>
        <v>0.29421750238978389</v>
      </c>
    </row>
    <row r="13" spans="1:13" ht="32.25" customHeight="1" thickBot="1" x14ac:dyDescent="0.5">
      <c r="A13" s="3"/>
      <c r="C13" s="7">
        <f>SUM(C10:C12)</f>
        <v>765430073164</v>
      </c>
      <c r="E13" s="97">
        <f>SUM(E10:E12)</f>
        <v>1667228022067</v>
      </c>
      <c r="G13" s="97">
        <f>SUM(G10:G12)</f>
        <v>2394348437652</v>
      </c>
      <c r="H13" s="7">
        <v>0</v>
      </c>
      <c r="I13" s="7">
        <f>SUM(I10:I12)</f>
        <v>38309657579</v>
      </c>
      <c r="K13" s="107">
        <f>SUM(K10:K12)</f>
        <v>0.43007934053563085</v>
      </c>
      <c r="L13" s="48"/>
      <c r="M13" s="48"/>
    </row>
    <row r="14" spans="1:13" ht="19.5" thickTop="1" x14ac:dyDescent="0.45">
      <c r="C14" s="49"/>
      <c r="E14" s="49"/>
      <c r="G14" s="49"/>
      <c r="I14" s="49"/>
      <c r="K14" s="49"/>
    </row>
    <row r="16" spans="1:13" hidden="1" x14ac:dyDescent="0.45">
      <c r="C16" s="245">
        <v>271037061764</v>
      </c>
      <c r="D16" s="187"/>
      <c r="E16" s="187"/>
      <c r="F16" s="187"/>
      <c r="G16" s="187"/>
      <c r="H16" s="187"/>
      <c r="I16" s="245">
        <v>164987419093</v>
      </c>
    </row>
    <row r="17" spans="3:11" hidden="1" x14ac:dyDescent="0.45">
      <c r="C17" s="246">
        <f>C13-C16</f>
        <v>494393011400</v>
      </c>
      <c r="D17" s="187"/>
      <c r="E17" s="246"/>
      <c r="F17" s="187"/>
      <c r="G17" s="187"/>
      <c r="H17" s="187"/>
      <c r="I17" s="246">
        <f>I13-I16</f>
        <v>-126677761514</v>
      </c>
    </row>
    <row r="18" spans="3:11" hidden="1" x14ac:dyDescent="0.45">
      <c r="C18" s="187"/>
      <c r="D18" s="187"/>
      <c r="E18" s="187"/>
      <c r="F18" s="187"/>
      <c r="G18" s="187"/>
      <c r="H18" s="187"/>
      <c r="I18" s="187"/>
    </row>
    <row r="20" spans="3:11" ht="18.75" x14ac:dyDescent="0.45">
      <c r="I20" s="98">
        <f>C13+E13-G13-I13</f>
        <v>0</v>
      </c>
      <c r="K20" s="50"/>
    </row>
    <row r="21" spans="3:11" ht="18.75" x14ac:dyDescent="0.45">
      <c r="I21" s="98"/>
    </row>
    <row r="23" spans="3:11" x14ac:dyDescent="0.45">
      <c r="C23" s="55"/>
      <c r="I23" s="99"/>
    </row>
    <row r="24" spans="3:11" x14ac:dyDescent="0.45">
      <c r="C24" s="55"/>
      <c r="I24" s="51"/>
    </row>
    <row r="25" spans="3:11" x14ac:dyDescent="0.45">
      <c r="C25" s="55"/>
    </row>
  </sheetData>
  <mergeCells count="7">
    <mergeCell ref="A1:K1"/>
    <mergeCell ref="A2:K2"/>
    <mergeCell ref="A3:K3"/>
    <mergeCell ref="A5:K5"/>
    <mergeCell ref="E7:G7"/>
    <mergeCell ref="I7:K8"/>
    <mergeCell ref="C7:C8"/>
  </mergeCells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29"/>
  <sheetViews>
    <sheetView rightToLeft="1" view="pageBreakPreview" zoomScaleNormal="100" zoomScaleSheetLayoutView="100" workbookViewId="0">
      <selection activeCell="I12" sqref="I12"/>
    </sheetView>
  </sheetViews>
  <sheetFormatPr defaultColWidth="9.125" defaultRowHeight="18" x14ac:dyDescent="0.45"/>
  <cols>
    <col min="1" max="1" width="50.375" style="45" customWidth="1"/>
    <col min="2" max="2" width="1.375" style="45" customWidth="1"/>
    <col min="3" max="3" width="8.375" style="45" customWidth="1"/>
    <col min="4" max="4" width="1.375" style="45" customWidth="1"/>
    <col min="5" max="5" width="18.25" style="45" customWidth="1"/>
    <col min="6" max="6" width="1.375" style="45" customWidth="1"/>
    <col min="7" max="7" width="11.375" style="45" customWidth="1"/>
    <col min="8" max="8" width="1.375" style="45" customWidth="1"/>
    <col min="9" max="9" width="11.875" style="45" customWidth="1"/>
    <col min="10" max="11" width="16.125" style="45" hidden="1" customWidth="1"/>
    <col min="12" max="12" width="16.125" style="45" customWidth="1"/>
    <col min="13" max="13" width="14" style="45" customWidth="1"/>
    <col min="14" max="14" width="14.875" style="45" customWidth="1"/>
    <col min="15" max="16" width="16.625" style="45" customWidth="1"/>
    <col min="17" max="17" width="19.125" style="45" customWidth="1"/>
    <col min="18" max="18" width="17.875" style="45" customWidth="1"/>
    <col min="19" max="19" width="13.375" style="45" customWidth="1"/>
    <col min="20" max="20" width="9.875" style="45" customWidth="1"/>
    <col min="21" max="22" width="9.125" style="45" customWidth="1"/>
    <col min="23" max="16384" width="9.125" style="45"/>
  </cols>
  <sheetData>
    <row r="1" spans="1:20" ht="31.5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N1" s="55"/>
    </row>
    <row r="2" spans="1:20" ht="31.5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  <c r="N2" s="55"/>
    </row>
    <row r="3" spans="1:20" ht="31.5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N3" s="55"/>
    </row>
    <row r="4" spans="1:20" ht="33.75" customHeight="1" x14ac:dyDescent="0.45">
      <c r="N4" s="55"/>
      <c r="O4" s="55"/>
    </row>
    <row r="5" spans="1:20" x14ac:dyDescent="0.45">
      <c r="N5" s="55"/>
      <c r="O5" s="55"/>
    </row>
    <row r="6" spans="1:20" s="56" customFormat="1" ht="24" x14ac:dyDescent="0.55000000000000004">
      <c r="A6" s="347" t="s">
        <v>16</v>
      </c>
      <c r="B6" s="348"/>
      <c r="C6" s="348"/>
      <c r="D6" s="348"/>
      <c r="E6" s="348"/>
      <c r="F6" s="348"/>
      <c r="G6" s="348"/>
      <c r="H6" s="348"/>
      <c r="I6" s="348"/>
      <c r="N6" s="215"/>
      <c r="O6" s="215"/>
    </row>
    <row r="7" spans="1:20" s="56" customFormat="1" ht="18.75" customHeight="1" x14ac:dyDescent="0.55000000000000004">
      <c r="A7" s="128"/>
      <c r="N7" s="215"/>
    </row>
    <row r="8" spans="1:20" ht="25.5" customHeight="1" x14ac:dyDescent="0.45">
      <c r="E8" s="372" t="str">
        <f>تیتر!A11</f>
        <v>طی مرداد ماه</v>
      </c>
      <c r="F8" s="372"/>
      <c r="G8" s="372"/>
      <c r="H8" s="372"/>
      <c r="I8" s="372"/>
      <c r="N8" s="55"/>
    </row>
    <row r="9" spans="1:20" ht="42" x14ac:dyDescent="0.45">
      <c r="A9" s="5" t="s">
        <v>17</v>
      </c>
      <c r="C9" s="5" t="s">
        <v>18</v>
      </c>
      <c r="E9" s="5" t="s">
        <v>59</v>
      </c>
      <c r="G9" s="52" t="s">
        <v>19</v>
      </c>
      <c r="I9" s="52" t="s">
        <v>20</v>
      </c>
      <c r="J9" s="85" t="s">
        <v>110</v>
      </c>
      <c r="K9" s="200"/>
      <c r="L9" s="102"/>
      <c r="N9" s="55"/>
      <c r="Q9" s="190"/>
    </row>
    <row r="10" spans="1:20" ht="32.25" customHeight="1" x14ac:dyDescent="0.45">
      <c r="A10" s="116" t="s">
        <v>75</v>
      </c>
      <c r="C10" s="109" t="s">
        <v>49</v>
      </c>
      <c r="E10" s="278">
        <f>+'درآمد سرمایه گذاری املاک'!G19</f>
        <v>2590595564929</v>
      </c>
      <c r="G10" s="88">
        <f>E10/$E$15*100</f>
        <v>97.792972129900775</v>
      </c>
      <c r="I10" s="88">
        <f>E10/'سرمایه گذاری ها  '!$I$20*100</f>
        <v>29.083048572324969</v>
      </c>
      <c r="J10" s="85">
        <f>'درآمد سرمایه گذاری املاک'!O19</f>
        <v>2594845564929</v>
      </c>
      <c r="K10" s="88">
        <f>J10/$J$15*100</f>
        <v>96.784262690245811</v>
      </c>
      <c r="L10" s="85"/>
      <c r="M10" s="201"/>
      <c r="P10" s="55"/>
      <c r="Q10" s="55"/>
      <c r="R10" s="55"/>
    </row>
    <row r="11" spans="1:20" ht="32.25" customHeight="1" x14ac:dyDescent="0.45">
      <c r="A11" s="53" t="s">
        <v>21</v>
      </c>
      <c r="C11" s="109" t="s">
        <v>50</v>
      </c>
      <c r="E11" s="278">
        <f>+'درآمد سرمایه گذاری در سهام '!I18</f>
        <v>28255648852</v>
      </c>
      <c r="F11" s="86"/>
      <c r="G11" s="88">
        <f>E11/$E$15*100</f>
        <v>1.066628816208766</v>
      </c>
      <c r="H11" s="89"/>
      <c r="I11" s="88">
        <f>E11/'سرمایه گذاری ها  '!$I$20*100</f>
        <v>0.31720906926967429</v>
      </c>
      <c r="J11" s="85">
        <f>'درآمد سرمایه گذاری در سهام '!S18</f>
        <v>17188100926</v>
      </c>
      <c r="K11" s="88">
        <f>J11/$J$15*100</f>
        <v>0.64109313388519862</v>
      </c>
      <c r="L11" s="85"/>
      <c r="M11" s="85"/>
      <c r="N11" s="85"/>
      <c r="O11" s="85"/>
      <c r="P11" s="85"/>
      <c r="Q11" s="85"/>
      <c r="R11" s="85"/>
      <c r="S11" s="92"/>
    </row>
    <row r="12" spans="1:20" ht="32.25" customHeight="1" x14ac:dyDescent="0.45">
      <c r="A12" s="116" t="s">
        <v>67</v>
      </c>
      <c r="C12" s="109" t="s">
        <v>51</v>
      </c>
      <c r="E12" s="278">
        <f>+'درآمد سرمایه گذاری در صندوق'!I16</f>
        <v>29224587920</v>
      </c>
      <c r="F12" s="86"/>
      <c r="G12" s="88">
        <f>E12/$E$15*100</f>
        <v>1.1032055140751862</v>
      </c>
      <c r="H12" s="89"/>
      <c r="I12" s="88">
        <f>E12/'سرمایه گذاری ها  '!$I$20*100</f>
        <v>0.32808676178168156</v>
      </c>
      <c r="J12" s="85">
        <f>'درآمد سرمایه گذاری در صندوق'!S16</f>
        <v>63045937718</v>
      </c>
      <c r="K12" s="88">
        <f>J12/$J$15*100</f>
        <v>2.3515290004624023</v>
      </c>
      <c r="L12" s="85"/>
      <c r="M12" s="85"/>
      <c r="N12" s="85"/>
      <c r="O12" s="85"/>
      <c r="P12" s="92"/>
      <c r="Q12" s="55"/>
      <c r="R12" s="55"/>
      <c r="S12" s="92"/>
      <c r="T12" s="92"/>
    </row>
    <row r="13" spans="1:20" ht="32.25" customHeight="1" x14ac:dyDescent="0.45">
      <c r="A13" s="116" t="s">
        <v>65</v>
      </c>
      <c r="C13" s="109" t="s">
        <v>52</v>
      </c>
      <c r="E13" s="278">
        <f>+'درآمد سپرده بانکی '!C13</f>
        <v>1131504122</v>
      </c>
      <c r="F13" s="86"/>
      <c r="G13" s="88">
        <f>E13/$E$15*100</f>
        <v>4.2713402495401287E-2</v>
      </c>
      <c r="H13" s="89"/>
      <c r="I13" s="88">
        <f>E13/'سرمایه گذاری ها  '!$I$20*100</f>
        <v>1.2702711988474284E-2</v>
      </c>
      <c r="J13" s="85">
        <f>'درآمد سپرده بانکی '!G13</f>
        <v>5485376165</v>
      </c>
      <c r="K13" s="88">
        <f>J13/$J$15*100</f>
        <v>0.20459718099743621</v>
      </c>
      <c r="L13" s="85"/>
      <c r="M13" s="85"/>
      <c r="O13" s="92"/>
      <c r="Q13" s="55"/>
      <c r="R13" s="55"/>
    </row>
    <row r="14" spans="1:20" ht="32.25" customHeight="1" x14ac:dyDescent="0.45">
      <c r="A14" s="53" t="s">
        <v>22</v>
      </c>
      <c r="C14" s="109" t="s">
        <v>76</v>
      </c>
      <c r="E14" s="278">
        <f>+'سایر درآمد ها'!C12</f>
        <v>-146224534</v>
      </c>
      <c r="F14" s="86"/>
      <c r="G14" s="88">
        <f>E14/$E$15*100</f>
        <v>-5.5198626801330293E-3</v>
      </c>
      <c r="H14" s="89"/>
      <c r="I14" s="88">
        <f>E14/'سرمایه گذاری ها  '!$I$20*100</f>
        <v>-1.6415743477520141E-3</v>
      </c>
      <c r="J14" s="85">
        <f>'سایر درآمد ها'!E12</f>
        <v>496478811</v>
      </c>
      <c r="K14" s="88">
        <f>J14/$J$15*100</f>
        <v>1.8517994409150775E-2</v>
      </c>
      <c r="L14" s="85"/>
      <c r="M14" s="85"/>
      <c r="N14" s="92"/>
      <c r="O14" s="192"/>
      <c r="P14" s="55"/>
      <c r="Q14" s="55"/>
      <c r="R14" s="55"/>
    </row>
    <row r="15" spans="1:20" ht="24" customHeight="1" thickBot="1" x14ac:dyDescent="0.5">
      <c r="A15" s="53"/>
      <c r="E15" s="87">
        <f>SUM(E10:E14)</f>
        <v>2649061081289</v>
      </c>
      <c r="F15" s="86"/>
      <c r="G15" s="217">
        <f>SUM(G10:G14)</f>
        <v>99.999999999999986</v>
      </c>
      <c r="H15" s="89"/>
      <c r="I15" s="217">
        <f>SUM(I10:I14)</f>
        <v>29.739405541017046</v>
      </c>
      <c r="J15" s="85">
        <f>SUM(J10:J14)</f>
        <v>2681061458549</v>
      </c>
      <c r="K15" s="85"/>
      <c r="M15" s="55"/>
      <c r="O15" s="55"/>
      <c r="P15" s="55"/>
      <c r="R15" s="55"/>
    </row>
    <row r="16" spans="1:20" ht="19.5" thickTop="1" x14ac:dyDescent="0.45">
      <c r="A16" s="53"/>
      <c r="E16" s="49"/>
      <c r="G16" s="49"/>
      <c r="I16" s="49"/>
      <c r="J16" s="85">
        <v>2681061458547</v>
      </c>
      <c r="K16" s="3"/>
      <c r="M16" s="55"/>
      <c r="O16" s="55"/>
      <c r="P16" s="55"/>
      <c r="Q16" s="190"/>
      <c r="R16" s="55"/>
    </row>
    <row r="17" spans="1:18" ht="21" hidden="1" customHeight="1" x14ac:dyDescent="0.45">
      <c r="A17" s="192"/>
      <c r="C17" s="190"/>
      <c r="E17" s="85">
        <v>2649061081289</v>
      </c>
      <c r="J17" s="85">
        <f>J15-J16</f>
        <v>2</v>
      </c>
      <c r="K17" s="55"/>
      <c r="O17" s="55"/>
      <c r="P17" s="55"/>
      <c r="Q17" s="92"/>
      <c r="R17" s="55"/>
    </row>
    <row r="18" spans="1:18" ht="18.75" hidden="1" x14ac:dyDescent="0.45">
      <c r="A18" s="55"/>
      <c r="E18" s="85">
        <f>SUM(E17:E17)</f>
        <v>2649061081289</v>
      </c>
      <c r="J18" s="85"/>
      <c r="K18" s="55"/>
      <c r="L18" s="55"/>
      <c r="Q18" s="55"/>
    </row>
    <row r="19" spans="1:18" ht="18.75" hidden="1" x14ac:dyDescent="0.45">
      <c r="A19" s="55"/>
      <c r="E19" s="85">
        <f>E15-E18</f>
        <v>0</v>
      </c>
      <c r="J19" s="85"/>
      <c r="K19" s="55"/>
      <c r="L19" s="55"/>
      <c r="Q19" s="55"/>
    </row>
    <row r="20" spans="1:18" ht="18.75" hidden="1" x14ac:dyDescent="0.45">
      <c r="E20" s="85"/>
      <c r="J20" s="85"/>
      <c r="K20" s="55"/>
      <c r="L20" s="55"/>
      <c r="Q20" s="55"/>
    </row>
    <row r="21" spans="1:18" ht="18.75" x14ac:dyDescent="0.45">
      <c r="E21" s="54"/>
      <c r="J21" s="85"/>
      <c r="K21" s="55"/>
      <c r="L21" s="55"/>
      <c r="Q21" s="92"/>
    </row>
    <row r="22" spans="1:18" ht="18.75" x14ac:dyDescent="0.45">
      <c r="E22" s="54"/>
      <c r="J22" s="85"/>
      <c r="K22" s="55"/>
      <c r="L22" s="55"/>
    </row>
    <row r="23" spans="1:18" ht="18.75" x14ac:dyDescent="0.45">
      <c r="E23" s="85"/>
      <c r="K23" s="92"/>
      <c r="L23" s="55"/>
      <c r="M23" s="92"/>
    </row>
    <row r="24" spans="1:18" ht="25.5" customHeight="1" x14ac:dyDescent="0.45">
      <c r="E24" s="54"/>
      <c r="K24" s="55"/>
    </row>
    <row r="25" spans="1:18" ht="25.5" customHeight="1" x14ac:dyDescent="0.45">
      <c r="E25" s="92"/>
      <c r="K25" s="55"/>
    </row>
    <row r="26" spans="1:18" ht="25.5" customHeight="1" x14ac:dyDescent="0.45">
      <c r="K26" s="55"/>
    </row>
    <row r="27" spans="1:18" x14ac:dyDescent="0.45">
      <c r="K27" s="55"/>
    </row>
    <row r="28" spans="1:18" x14ac:dyDescent="0.45">
      <c r="E28" s="55"/>
      <c r="K28" s="55"/>
    </row>
    <row r="29" spans="1:18" x14ac:dyDescent="0.45">
      <c r="K29" s="92"/>
    </row>
  </sheetData>
  <mergeCells count="5">
    <mergeCell ref="A1:I1"/>
    <mergeCell ref="A2:I2"/>
    <mergeCell ref="A3:I3"/>
    <mergeCell ref="A6:I6"/>
    <mergeCell ref="E8:I8"/>
  </mergeCells>
  <phoneticPr fontId="29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80" fitToHeight="0" orientation="portrait" r:id="rId1"/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102"/>
  <sheetViews>
    <sheetView rightToLeft="1" view="pageBreakPreview" topLeftCell="A4" zoomScale="115" zoomScaleNormal="100" zoomScaleSheetLayoutView="115" workbookViewId="0">
      <selection activeCell="T4" sqref="T1:V1048576"/>
    </sheetView>
  </sheetViews>
  <sheetFormatPr defaultColWidth="9.125" defaultRowHeight="18" x14ac:dyDescent="0.45"/>
  <cols>
    <col min="1" max="1" width="29.125" style="45" customWidth="1"/>
    <col min="2" max="2" width="0.625" style="45" customWidth="1"/>
    <col min="3" max="3" width="13.625" style="45" customWidth="1"/>
    <col min="4" max="4" width="0.625" style="45" customWidth="1"/>
    <col min="5" max="5" width="16.625" style="45" customWidth="1"/>
    <col min="6" max="6" width="0.875" style="45" customWidth="1"/>
    <col min="7" max="7" width="15.25" style="45" customWidth="1"/>
    <col min="8" max="8" width="0.75" style="45" customWidth="1"/>
    <col min="9" max="9" width="10.75" style="94" bestFit="1" customWidth="1"/>
    <col min="10" max="10" width="1" style="45" customWidth="1"/>
    <col min="11" max="11" width="15" style="45" bestFit="1" customWidth="1"/>
    <col min="12" max="12" width="1" style="45" customWidth="1"/>
    <col min="13" max="13" width="16.875" style="45" customWidth="1"/>
    <col min="14" max="14" width="1" style="45" customWidth="1"/>
    <col min="15" max="15" width="16.125" style="45" bestFit="1" customWidth="1"/>
    <col min="16" max="16" width="0.875" style="45" customWidth="1"/>
    <col min="17" max="17" width="9.75" style="45" customWidth="1"/>
    <col min="18" max="18" width="9.125" style="45" hidden="1" customWidth="1"/>
    <col min="19" max="19" width="1" style="45" customWidth="1"/>
    <col min="20" max="20" width="10.75" style="45" hidden="1" customWidth="1"/>
    <col min="21" max="21" width="13.875" style="45" hidden="1" customWidth="1"/>
    <col min="22" max="22" width="0" style="45" hidden="1" customWidth="1"/>
    <col min="23" max="24" width="9.125" style="45"/>
    <col min="25" max="25" width="14" style="45" bestFit="1" customWidth="1"/>
    <col min="26" max="16384" width="9.125" style="45"/>
  </cols>
  <sheetData>
    <row r="1" spans="1:25" ht="27.75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</row>
    <row r="2" spans="1:25" ht="27.75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3" spans="1:25" ht="27.75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</row>
    <row r="4" spans="1:25" ht="22.5" customHeight="1" x14ac:dyDescent="0.45"/>
    <row r="5" spans="1:25" s="130" customFormat="1" ht="30.75" customHeight="1" x14ac:dyDescent="0.6">
      <c r="A5" s="373" t="s">
        <v>89</v>
      </c>
      <c r="B5" s="374"/>
      <c r="C5" s="374"/>
      <c r="D5" s="374"/>
      <c r="E5" s="374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Y5" s="220"/>
    </row>
    <row r="6" spans="1:25" ht="7.5" customHeight="1" x14ac:dyDescent="0.45">
      <c r="Y6" s="55"/>
    </row>
    <row r="7" spans="1:25" ht="30" customHeight="1" x14ac:dyDescent="0.45">
      <c r="C7" s="375" t="str">
        <f>+تیتر!A11</f>
        <v>طی مرداد ماه</v>
      </c>
      <c r="D7" s="375"/>
      <c r="E7" s="375"/>
      <c r="F7" s="375"/>
      <c r="G7" s="375"/>
      <c r="H7" s="375"/>
      <c r="I7" s="375"/>
      <c r="K7" s="375" t="str">
        <f>تیتر!B11</f>
        <v>از ابتدای سال مالی تا پایان مرداد ماه 1405</v>
      </c>
      <c r="L7" s="375"/>
      <c r="M7" s="375"/>
      <c r="N7" s="375"/>
      <c r="O7" s="375"/>
      <c r="P7" s="375"/>
      <c r="Q7" s="375"/>
      <c r="U7" s="55"/>
    </row>
    <row r="8" spans="1:25" ht="59.25" customHeight="1" x14ac:dyDescent="0.45">
      <c r="A8" s="5" t="s">
        <v>32</v>
      </c>
      <c r="C8" s="115" t="s">
        <v>103</v>
      </c>
      <c r="E8" s="115" t="s">
        <v>158</v>
      </c>
      <c r="G8" s="52" t="s">
        <v>33</v>
      </c>
      <c r="I8" s="95" t="s">
        <v>34</v>
      </c>
      <c r="K8" s="52" t="str">
        <f>C8</f>
        <v>درآمد اجاره
2-1-1</v>
      </c>
      <c r="M8" s="115" t="s">
        <v>158</v>
      </c>
      <c r="O8" s="52" t="s">
        <v>33</v>
      </c>
      <c r="Q8" s="52" t="s">
        <v>34</v>
      </c>
      <c r="T8" s="55"/>
      <c r="U8" s="55"/>
    </row>
    <row r="9" spans="1:25" ht="18" customHeight="1" x14ac:dyDescent="0.45">
      <c r="A9" s="47"/>
      <c r="E9" s="3" t="s">
        <v>47</v>
      </c>
      <c r="F9" s="3"/>
      <c r="G9" s="3" t="s">
        <v>47</v>
      </c>
      <c r="H9" s="3"/>
      <c r="I9" s="91"/>
      <c r="J9" s="3"/>
      <c r="K9" s="3"/>
      <c r="L9" s="3"/>
      <c r="M9" s="3" t="s">
        <v>47</v>
      </c>
      <c r="N9" s="3"/>
      <c r="O9" s="3" t="s">
        <v>47</v>
      </c>
      <c r="P9" s="48"/>
      <c r="Q9" s="57"/>
      <c r="R9" s="45">
        <v>-1</v>
      </c>
      <c r="T9" s="55"/>
      <c r="U9" s="55"/>
    </row>
    <row r="10" spans="1:25" ht="18" customHeight="1" x14ac:dyDescent="0.45">
      <c r="A10" s="197" t="s">
        <v>96</v>
      </c>
      <c r="C10" s="250">
        <v>1147500000</v>
      </c>
      <c r="D10" s="250"/>
      <c r="E10" s="250">
        <v>287810600000</v>
      </c>
      <c r="F10" s="3"/>
      <c r="G10" s="250">
        <f>C10+E10</f>
        <v>288958100000</v>
      </c>
      <c r="H10" s="3"/>
      <c r="I10" s="91">
        <f>G10/درآمدها!$E$15*100</f>
        <v>10.907944027451288</v>
      </c>
      <c r="J10" s="3"/>
      <c r="K10" s="53">
        <v>1997500000</v>
      </c>
      <c r="L10" s="3"/>
      <c r="M10" s="3">
        <v>287810600000</v>
      </c>
      <c r="N10" s="3"/>
      <c r="O10" s="3">
        <f>K10+M10</f>
        <v>289808100000</v>
      </c>
      <c r="P10" s="48"/>
      <c r="Q10" s="91">
        <f>O10/درآمدها!$J$15*100</f>
        <v>10.809453810762145</v>
      </c>
      <c r="T10" s="55"/>
      <c r="U10" s="55"/>
    </row>
    <row r="11" spans="1:25" s="316" customFormat="1" ht="18" customHeight="1" x14ac:dyDescent="0.45">
      <c r="A11" s="197" t="s">
        <v>97</v>
      </c>
      <c r="C11" s="250">
        <v>1147500000</v>
      </c>
      <c r="D11" s="250"/>
      <c r="E11" s="250">
        <v>376466600000</v>
      </c>
      <c r="F11" s="3"/>
      <c r="G11" s="250">
        <f t="shared" ref="G11:G18" si="0">C11+E11</f>
        <v>377614100000</v>
      </c>
      <c r="H11" s="3"/>
      <c r="I11" s="91">
        <f>G11/درآمدها!$E$15*100</f>
        <v>14.254639225466923</v>
      </c>
      <c r="J11" s="3"/>
      <c r="K11" s="53">
        <v>1997500000</v>
      </c>
      <c r="L11" s="3"/>
      <c r="M11" s="3">
        <v>376466600000</v>
      </c>
      <c r="N11" s="3"/>
      <c r="O11" s="3">
        <f t="shared" ref="O11:O18" si="1">K11+M11</f>
        <v>378464100000</v>
      </c>
      <c r="P11" s="48"/>
      <c r="Q11" s="91">
        <f>O11/درآمدها!$J$15*100</f>
        <v>14.116203818946623</v>
      </c>
      <c r="T11" s="55"/>
      <c r="U11" s="55"/>
    </row>
    <row r="12" spans="1:25" s="316" customFormat="1" ht="18" customHeight="1" x14ac:dyDescent="0.45">
      <c r="A12" s="197" t="s">
        <v>98</v>
      </c>
      <c r="C12" s="250">
        <v>1147500000</v>
      </c>
      <c r="D12" s="250"/>
      <c r="E12" s="250">
        <v>352148600000</v>
      </c>
      <c r="F12" s="3"/>
      <c r="G12" s="250">
        <f t="shared" si="0"/>
        <v>353296100000</v>
      </c>
      <c r="H12" s="3"/>
      <c r="I12" s="91">
        <f>G12/درآمدها!$E$15*100</f>
        <v>13.336653597586754</v>
      </c>
      <c r="J12" s="3"/>
      <c r="K12" s="53">
        <v>1997500000</v>
      </c>
      <c r="L12" s="3"/>
      <c r="M12" s="3">
        <v>352148600000</v>
      </c>
      <c r="N12" s="3"/>
      <c r="O12" s="3">
        <f t="shared" si="1"/>
        <v>354146100000</v>
      </c>
      <c r="P12" s="48"/>
      <c r="Q12" s="91">
        <f>O12/درآمدها!$J$15*100</f>
        <v>13.209175003084978</v>
      </c>
      <c r="T12" s="55"/>
      <c r="U12" s="55">
        <v>2914588064929</v>
      </c>
    </row>
    <row r="13" spans="1:25" s="316" customFormat="1" ht="18" customHeight="1" x14ac:dyDescent="0.45">
      <c r="A13" s="197" t="s">
        <v>99</v>
      </c>
      <c r="C13" s="250">
        <v>1147500000</v>
      </c>
      <c r="D13" s="250"/>
      <c r="E13" s="250">
        <v>362462600000</v>
      </c>
      <c r="F13" s="3"/>
      <c r="G13" s="250">
        <f t="shared" si="0"/>
        <v>363610100000</v>
      </c>
      <c r="H13" s="3"/>
      <c r="I13" s="91">
        <f>G13/درآمدها!$E$15*100</f>
        <v>13.725999093349403</v>
      </c>
      <c r="J13" s="3"/>
      <c r="K13" s="53">
        <v>1997500000</v>
      </c>
      <c r="L13" s="3"/>
      <c r="M13" s="3">
        <v>362462600000</v>
      </c>
      <c r="N13" s="3"/>
      <c r="O13" s="3">
        <f t="shared" si="1"/>
        <v>364460100000</v>
      </c>
      <c r="P13" s="48"/>
      <c r="Q13" s="91">
        <f>O13/درآمدها!$J$15*100</f>
        <v>13.593873383165453</v>
      </c>
      <c r="T13" s="55"/>
      <c r="U13" s="55">
        <v>329730000000</v>
      </c>
    </row>
    <row r="14" spans="1:25" s="316" customFormat="1" ht="18" customHeight="1" x14ac:dyDescent="0.45">
      <c r="A14" s="197" t="s">
        <v>100</v>
      </c>
      <c r="C14" s="250">
        <v>1147500000</v>
      </c>
      <c r="D14" s="250"/>
      <c r="E14" s="250">
        <v>344517600000</v>
      </c>
      <c r="F14" s="3"/>
      <c r="G14" s="250">
        <f t="shared" si="0"/>
        <v>345665100000</v>
      </c>
      <c r="H14" s="3"/>
      <c r="I14" s="91">
        <f>G14/درآمدها!$E$15*100</f>
        <v>13.048589269666961</v>
      </c>
      <c r="J14" s="3"/>
      <c r="K14" s="53">
        <v>1997500000</v>
      </c>
      <c r="L14" s="3"/>
      <c r="M14" s="3">
        <v>344517600000</v>
      </c>
      <c r="N14" s="3"/>
      <c r="O14" s="3">
        <f t="shared" si="1"/>
        <v>346515100000</v>
      </c>
      <c r="P14" s="48"/>
      <c r="Q14" s="91">
        <f>O14/درآمدها!$J$15*100</f>
        <v>12.924548928003135</v>
      </c>
      <c r="T14" s="55"/>
      <c r="U14" s="55">
        <f>U12-U13</f>
        <v>2584858064929</v>
      </c>
    </row>
    <row r="15" spans="1:25" s="316" customFormat="1" ht="18" customHeight="1" x14ac:dyDescent="0.45">
      <c r="A15" s="197" t="s">
        <v>102</v>
      </c>
      <c r="C15" s="250">
        <v>0</v>
      </c>
      <c r="D15" s="250"/>
      <c r="E15" s="250">
        <v>264252500000</v>
      </c>
      <c r="F15" s="3"/>
      <c r="G15" s="250">
        <f t="shared" si="0"/>
        <v>264252500000</v>
      </c>
      <c r="H15" s="3"/>
      <c r="I15" s="91">
        <f>G15/درآمدها!$E$15*100</f>
        <v>9.9753268003702669</v>
      </c>
      <c r="J15" s="3"/>
      <c r="K15" s="53">
        <v>0</v>
      </c>
      <c r="L15" s="3"/>
      <c r="M15" s="3">
        <v>264252500000</v>
      </c>
      <c r="N15" s="3"/>
      <c r="O15" s="3">
        <f t="shared" si="1"/>
        <v>264252500000</v>
      </c>
      <c r="P15" s="48"/>
      <c r="Q15" s="91">
        <f>O15/درآمدها!$J$15*100</f>
        <v>9.8562641731836464</v>
      </c>
      <c r="T15" s="55"/>
      <c r="U15" s="55"/>
    </row>
    <row r="16" spans="1:25" s="316" customFormat="1" ht="18" customHeight="1" x14ac:dyDescent="0.45">
      <c r="A16" s="197" t="s">
        <v>120</v>
      </c>
      <c r="C16" s="250">
        <v>0</v>
      </c>
      <c r="D16" s="250"/>
      <c r="E16" s="250">
        <v>101213587500</v>
      </c>
      <c r="F16" s="3"/>
      <c r="G16" s="250">
        <f t="shared" si="0"/>
        <v>101213587500</v>
      </c>
      <c r="H16" s="3"/>
      <c r="I16" s="91">
        <f>G16/درآمدها!$E$15*100</f>
        <v>3.820734380754661</v>
      </c>
      <c r="J16" s="3"/>
      <c r="K16" s="53">
        <v>0</v>
      </c>
      <c r="L16" s="3"/>
      <c r="M16" s="3">
        <v>101213587500</v>
      </c>
      <c r="N16" s="3"/>
      <c r="O16" s="3">
        <f t="shared" si="1"/>
        <v>101213587500</v>
      </c>
      <c r="P16" s="48"/>
      <c r="Q16" s="91">
        <f>O16/درآمدها!$J$15*100</f>
        <v>3.775131195790534</v>
      </c>
      <c r="T16" s="55"/>
      <c r="U16" s="55"/>
    </row>
    <row r="17" spans="1:21" s="316" customFormat="1" ht="18" customHeight="1" x14ac:dyDescent="0.45">
      <c r="A17" s="197" t="s">
        <v>123</v>
      </c>
      <c r="C17" s="250">
        <v>0</v>
      </c>
      <c r="D17" s="250"/>
      <c r="E17" s="250">
        <v>356950028538</v>
      </c>
      <c r="F17" s="3"/>
      <c r="G17" s="250">
        <f t="shared" si="0"/>
        <v>356950028538</v>
      </c>
      <c r="H17" s="3"/>
      <c r="I17" s="91">
        <f>G17/درآمدها!$E$15*100</f>
        <v>13.474586564244589</v>
      </c>
      <c r="J17" s="3"/>
      <c r="K17" s="53">
        <v>0</v>
      </c>
      <c r="L17" s="3"/>
      <c r="M17" s="3">
        <v>356950028538</v>
      </c>
      <c r="N17" s="3"/>
      <c r="O17" s="3">
        <f t="shared" si="1"/>
        <v>356950028538</v>
      </c>
      <c r="P17" s="48"/>
      <c r="Q17" s="91">
        <f>O17/درآمدها!$J$15*100</f>
        <v>13.313757780516625</v>
      </c>
      <c r="T17" s="55"/>
      <c r="U17" s="55"/>
    </row>
    <row r="18" spans="1:21" s="316" customFormat="1" ht="18" customHeight="1" x14ac:dyDescent="0.45">
      <c r="A18" s="197" t="s">
        <v>134</v>
      </c>
      <c r="C18" s="250">
        <v>0</v>
      </c>
      <c r="D18" s="250"/>
      <c r="E18" s="250">
        <v>139035948891</v>
      </c>
      <c r="F18" s="3"/>
      <c r="G18" s="250">
        <f t="shared" si="0"/>
        <v>139035948891</v>
      </c>
      <c r="H18" s="3"/>
      <c r="I18" s="91">
        <f>G18/درآمدها!$E$15*100</f>
        <v>5.2484991710099358</v>
      </c>
      <c r="J18" s="3"/>
      <c r="K18" s="53">
        <v>0</v>
      </c>
      <c r="L18" s="3"/>
      <c r="M18" s="3">
        <v>139035948891</v>
      </c>
      <c r="N18" s="3"/>
      <c r="O18" s="3">
        <f t="shared" si="1"/>
        <v>139035948891</v>
      </c>
      <c r="P18" s="48"/>
      <c r="Q18" s="91">
        <f>O18/درآمدها!$J$15*100</f>
        <v>5.185854596792673</v>
      </c>
      <c r="T18" s="55"/>
      <c r="U18" s="55"/>
    </row>
    <row r="19" spans="1:21" ht="19.5" thickBot="1" x14ac:dyDescent="0.5">
      <c r="A19" s="7"/>
      <c r="C19" s="191">
        <f>SUM(C10:C18)</f>
        <v>5737500000</v>
      </c>
      <c r="E19" s="93">
        <f>SUM(E10:E18)</f>
        <v>2584858064929</v>
      </c>
      <c r="F19" s="92"/>
      <c r="G19" s="93">
        <f>SUM(G10:G18)</f>
        <v>2590595564929</v>
      </c>
      <c r="H19" s="92"/>
      <c r="I19" s="96">
        <f>SUM(I10:I18)</f>
        <v>97.792972129900775</v>
      </c>
      <c r="J19" s="92"/>
      <c r="K19" s="191">
        <f>SUM(K10:K18)</f>
        <v>9987500000</v>
      </c>
      <c r="L19" s="92"/>
      <c r="M19" s="93">
        <f>SUM(M10:M18)</f>
        <v>2584858064929</v>
      </c>
      <c r="N19" s="92"/>
      <c r="O19" s="93">
        <f>SUM(O10:O18)</f>
        <v>2594845564929</v>
      </c>
      <c r="P19" s="59"/>
      <c r="Q19" s="60">
        <f>SUM(Q10:Q18)</f>
        <v>96.784262690245811</v>
      </c>
    </row>
    <row r="20" spans="1:21" ht="17.25" customHeight="1" thickTop="1" x14ac:dyDescent="0.45"/>
    <row r="21" spans="1:21" ht="18.75" hidden="1" x14ac:dyDescent="0.45">
      <c r="G21" s="45">
        <v>4249999500</v>
      </c>
      <c r="K21" s="55">
        <v>39326829174</v>
      </c>
      <c r="M21" s="90">
        <v>385529075277</v>
      </c>
      <c r="O21" s="55"/>
    </row>
    <row r="22" spans="1:21" ht="18.75" hidden="1" x14ac:dyDescent="0.45">
      <c r="E22" s="55"/>
      <c r="G22" s="92" t="e">
        <f>#REF!-G21</f>
        <v>#REF!</v>
      </c>
      <c r="K22" s="55">
        <f>K19-K21</f>
        <v>-29339329174</v>
      </c>
      <c r="M22" s="90">
        <f>M19-M21</f>
        <v>2199328989652</v>
      </c>
      <c r="O22" s="55"/>
    </row>
    <row r="23" spans="1:21" ht="18.75" hidden="1" x14ac:dyDescent="0.45">
      <c r="A23" s="4"/>
      <c r="C23" s="92">
        <v>4108332850</v>
      </c>
      <c r="E23" s="3">
        <v>40731571693</v>
      </c>
      <c r="G23" s="3"/>
      <c r="K23" s="55">
        <v>43435162024</v>
      </c>
      <c r="M23" s="55">
        <v>426260646970</v>
      </c>
    </row>
    <row r="24" spans="1:21" ht="18.75" hidden="1" x14ac:dyDescent="0.45">
      <c r="A24" s="4"/>
      <c r="C24" s="213">
        <f>C19-C23</f>
        <v>1629167150</v>
      </c>
      <c r="E24" s="3">
        <f>E19-E23</f>
        <v>2544126493236</v>
      </c>
      <c r="G24" s="3"/>
      <c r="K24" s="55">
        <f>K19-K23</f>
        <v>-33447662024</v>
      </c>
      <c r="M24" s="92">
        <f>M19-M23</f>
        <v>2158597417959</v>
      </c>
    </row>
    <row r="25" spans="1:21" ht="18.75" hidden="1" x14ac:dyDescent="0.45">
      <c r="A25" s="4"/>
      <c r="C25" s="55"/>
      <c r="E25" s="3"/>
      <c r="G25" s="3"/>
      <c r="K25" s="55"/>
    </row>
    <row r="26" spans="1:21" ht="18.75" hidden="1" x14ac:dyDescent="0.45">
      <c r="A26" s="4"/>
      <c r="E26" s="3"/>
      <c r="G26" s="3"/>
      <c r="K26" s="55"/>
    </row>
    <row r="27" spans="1:21" ht="18.75" hidden="1" x14ac:dyDescent="0.45">
      <c r="A27" s="4"/>
      <c r="C27" s="55">
        <v>4391666150</v>
      </c>
      <c r="E27" s="3"/>
      <c r="G27" s="3">
        <v>4391666150</v>
      </c>
      <c r="K27" s="55">
        <v>47826828154</v>
      </c>
      <c r="M27" s="55">
        <v>404211646970</v>
      </c>
    </row>
    <row r="28" spans="1:21" ht="18.75" hidden="1" x14ac:dyDescent="0.45">
      <c r="A28" s="4"/>
      <c r="C28" s="92">
        <f>C19-C27</f>
        <v>1345833850</v>
      </c>
      <c r="E28" s="3"/>
      <c r="G28" s="3">
        <f>G19-G27</f>
        <v>2586203898779</v>
      </c>
      <c r="K28" s="92">
        <f>K19-K27</f>
        <v>-37839328154</v>
      </c>
      <c r="M28" s="92">
        <f>M19-M27</f>
        <v>2180646417959</v>
      </c>
    </row>
    <row r="29" spans="1:21" ht="18.75" x14ac:dyDescent="0.45">
      <c r="A29" s="4"/>
      <c r="E29" s="3"/>
      <c r="G29" s="3"/>
    </row>
    <row r="30" spans="1:21" ht="18.75" hidden="1" x14ac:dyDescent="0.45">
      <c r="A30" s="4"/>
      <c r="E30" s="3"/>
      <c r="G30" s="3"/>
    </row>
    <row r="31" spans="1:21" ht="18.75" hidden="1" x14ac:dyDescent="0.45">
      <c r="A31" s="4"/>
      <c r="E31" s="3">
        <v>4343000000</v>
      </c>
      <c r="G31" s="3"/>
      <c r="K31" s="92"/>
    </row>
    <row r="32" spans="1:21" ht="18.75" hidden="1" x14ac:dyDescent="0.45">
      <c r="A32" s="4"/>
      <c r="E32" s="3">
        <f>-'درآمد سرمایه گذاری در صندوق'!C15</f>
        <v>-404780544</v>
      </c>
      <c r="G32" s="3"/>
      <c r="K32" s="92"/>
    </row>
    <row r="33" spans="1:7" ht="18.75" hidden="1" x14ac:dyDescent="0.45">
      <c r="A33" s="4"/>
      <c r="E33" s="3">
        <f>SUM(E31:E32)</f>
        <v>3938219456</v>
      </c>
      <c r="G33" s="3"/>
    </row>
    <row r="34" spans="1:7" ht="18.75" hidden="1" x14ac:dyDescent="0.45">
      <c r="A34" s="4"/>
      <c r="E34" s="3"/>
      <c r="G34" s="3"/>
    </row>
    <row r="35" spans="1:7" ht="18.75" x14ac:dyDescent="0.45">
      <c r="A35" s="4"/>
      <c r="E35" s="3"/>
      <c r="G35" s="3"/>
    </row>
    <row r="36" spans="1:7" ht="18.75" x14ac:dyDescent="0.45">
      <c r="A36" s="4"/>
      <c r="E36" s="3"/>
      <c r="G36" s="3"/>
    </row>
    <row r="37" spans="1:7" ht="18.75" x14ac:dyDescent="0.45">
      <c r="A37" s="4"/>
      <c r="E37" s="3"/>
      <c r="G37" s="3"/>
    </row>
    <row r="38" spans="1:7" ht="18.75" x14ac:dyDescent="0.45">
      <c r="A38" s="4"/>
      <c r="E38" s="3"/>
      <c r="G38" s="3"/>
    </row>
    <row r="39" spans="1:7" ht="18.75" x14ac:dyDescent="0.45">
      <c r="A39" s="4"/>
      <c r="E39" s="3"/>
      <c r="G39" s="3"/>
    </row>
    <row r="40" spans="1:7" ht="18.75" x14ac:dyDescent="0.45">
      <c r="A40" s="4"/>
      <c r="E40" s="3"/>
      <c r="G40" s="3"/>
    </row>
    <row r="41" spans="1:7" ht="18.75" x14ac:dyDescent="0.45">
      <c r="A41" s="4"/>
      <c r="E41" s="3"/>
      <c r="G41" s="3"/>
    </row>
    <row r="42" spans="1:7" ht="18.75" x14ac:dyDescent="0.45">
      <c r="A42" s="4"/>
      <c r="E42" s="3"/>
      <c r="G42" s="3"/>
    </row>
    <row r="43" spans="1:7" ht="18.75" x14ac:dyDescent="0.45">
      <c r="A43" s="4"/>
      <c r="E43" s="3"/>
      <c r="G43" s="3"/>
    </row>
    <row r="44" spans="1:7" ht="18.75" x14ac:dyDescent="0.45">
      <c r="A44" s="4"/>
      <c r="E44" s="3"/>
      <c r="G44" s="3"/>
    </row>
    <row r="45" spans="1:7" ht="18.75" x14ac:dyDescent="0.45">
      <c r="A45" s="4"/>
      <c r="E45" s="3"/>
      <c r="G45" s="3"/>
    </row>
    <row r="46" spans="1:7" ht="18.75" x14ac:dyDescent="0.45">
      <c r="A46" s="4"/>
      <c r="E46" s="3"/>
      <c r="G46" s="3"/>
    </row>
    <row r="47" spans="1:7" ht="18.75" x14ac:dyDescent="0.45">
      <c r="A47" s="4"/>
      <c r="E47" s="3"/>
      <c r="G47" s="3"/>
    </row>
    <row r="48" spans="1:7" ht="18.75" x14ac:dyDescent="0.45">
      <c r="A48" s="4"/>
      <c r="E48" s="3"/>
      <c r="G48" s="3"/>
    </row>
    <row r="49" spans="1:7" ht="18.75" x14ac:dyDescent="0.45">
      <c r="A49" s="4"/>
      <c r="E49" s="3"/>
      <c r="G49" s="3"/>
    </row>
    <row r="50" spans="1:7" ht="18.75" x14ac:dyDescent="0.45">
      <c r="A50" s="4"/>
      <c r="E50" s="3"/>
      <c r="G50" s="3"/>
    </row>
    <row r="51" spans="1:7" ht="18.75" x14ac:dyDescent="0.45">
      <c r="A51" s="4"/>
      <c r="E51" s="3"/>
      <c r="G51" s="3"/>
    </row>
    <row r="52" spans="1:7" ht="18.75" x14ac:dyDescent="0.45">
      <c r="A52" s="4"/>
      <c r="E52" s="3"/>
      <c r="G52" s="3"/>
    </row>
    <row r="53" spans="1:7" ht="18.75" x14ac:dyDescent="0.45">
      <c r="A53" s="4"/>
      <c r="E53" s="3"/>
      <c r="G53" s="3"/>
    </row>
    <row r="54" spans="1:7" ht="18.75" x14ac:dyDescent="0.45">
      <c r="A54" s="4"/>
      <c r="E54" s="3"/>
      <c r="G54" s="3"/>
    </row>
    <row r="55" spans="1:7" ht="18.75" x14ac:dyDescent="0.45">
      <c r="A55" s="4"/>
      <c r="E55" s="3"/>
      <c r="G55" s="3"/>
    </row>
    <row r="56" spans="1:7" ht="18.75" x14ac:dyDescent="0.45">
      <c r="A56" s="4"/>
      <c r="E56" s="3"/>
      <c r="G56" s="3"/>
    </row>
    <row r="57" spans="1:7" ht="18.75" x14ac:dyDescent="0.45">
      <c r="A57" s="4"/>
      <c r="E57" s="3"/>
      <c r="G57" s="3"/>
    </row>
    <row r="58" spans="1:7" ht="18.75" x14ac:dyDescent="0.45">
      <c r="A58" s="4"/>
      <c r="E58" s="3"/>
      <c r="G58" s="3"/>
    </row>
    <row r="59" spans="1:7" ht="18.75" x14ac:dyDescent="0.45">
      <c r="A59" s="4"/>
      <c r="E59" s="3"/>
      <c r="G59" s="3"/>
    </row>
    <row r="60" spans="1:7" ht="18.75" x14ac:dyDescent="0.45">
      <c r="A60" s="4"/>
      <c r="E60" s="3"/>
      <c r="G60" s="3"/>
    </row>
    <row r="61" spans="1:7" ht="18.75" x14ac:dyDescent="0.45">
      <c r="A61" s="4"/>
      <c r="E61" s="3"/>
      <c r="G61" s="3"/>
    </row>
    <row r="62" spans="1:7" ht="18.75" x14ac:dyDescent="0.45">
      <c r="A62" s="4"/>
      <c r="E62" s="3"/>
      <c r="G62" s="3"/>
    </row>
    <row r="63" spans="1:7" ht="18.75" x14ac:dyDescent="0.45">
      <c r="A63" s="4"/>
      <c r="E63" s="3"/>
      <c r="G63" s="3"/>
    </row>
    <row r="64" spans="1:7" ht="18.75" x14ac:dyDescent="0.45">
      <c r="A64" s="4"/>
      <c r="E64" s="3"/>
      <c r="G64" s="3"/>
    </row>
    <row r="65" spans="1:7" ht="18.75" x14ac:dyDescent="0.45">
      <c r="A65" s="4"/>
      <c r="E65" s="3"/>
      <c r="G65" s="3"/>
    </row>
    <row r="66" spans="1:7" ht="18.75" x14ac:dyDescent="0.45">
      <c r="A66" s="4"/>
      <c r="E66" s="3"/>
      <c r="G66" s="3"/>
    </row>
    <row r="67" spans="1:7" ht="18.75" x14ac:dyDescent="0.45">
      <c r="A67" s="4"/>
      <c r="E67" s="3"/>
      <c r="G67" s="3"/>
    </row>
    <row r="68" spans="1:7" ht="18.75" x14ac:dyDescent="0.45">
      <c r="A68" s="4"/>
      <c r="E68" s="3"/>
      <c r="G68" s="3"/>
    </row>
    <row r="69" spans="1:7" ht="18.75" x14ac:dyDescent="0.45">
      <c r="A69" s="4"/>
      <c r="E69" s="3"/>
      <c r="G69" s="3"/>
    </row>
    <row r="70" spans="1:7" ht="18.75" x14ac:dyDescent="0.45">
      <c r="A70" s="4"/>
      <c r="E70" s="3"/>
      <c r="G70" s="3"/>
    </row>
    <row r="71" spans="1:7" ht="18.75" x14ac:dyDescent="0.45">
      <c r="A71" s="4"/>
      <c r="E71" s="3"/>
      <c r="G71" s="3"/>
    </row>
    <row r="72" spans="1:7" ht="18.75" x14ac:dyDescent="0.45">
      <c r="A72" s="4"/>
      <c r="E72" s="3"/>
      <c r="G72" s="3"/>
    </row>
    <row r="73" spans="1:7" ht="18.75" x14ac:dyDescent="0.45">
      <c r="A73" s="4"/>
      <c r="E73" s="3"/>
      <c r="G73" s="3"/>
    </row>
    <row r="74" spans="1:7" ht="18.75" x14ac:dyDescent="0.45">
      <c r="A74" s="4"/>
      <c r="E74" s="3"/>
      <c r="G74" s="3"/>
    </row>
    <row r="75" spans="1:7" ht="18.75" x14ac:dyDescent="0.45">
      <c r="A75" s="4"/>
      <c r="E75" s="3"/>
      <c r="G75" s="3"/>
    </row>
    <row r="76" spans="1:7" ht="18.75" x14ac:dyDescent="0.45">
      <c r="A76" s="4"/>
      <c r="E76" s="3"/>
      <c r="G76" s="3"/>
    </row>
    <row r="77" spans="1:7" ht="18.75" x14ac:dyDescent="0.45">
      <c r="A77" s="4"/>
      <c r="E77" s="3"/>
      <c r="G77" s="3"/>
    </row>
    <row r="78" spans="1:7" ht="18.75" x14ac:dyDescent="0.45">
      <c r="A78" s="4"/>
      <c r="E78" s="3"/>
      <c r="G78" s="3"/>
    </row>
    <row r="79" spans="1:7" ht="18.75" x14ac:dyDescent="0.45">
      <c r="A79" s="4"/>
      <c r="E79" s="3"/>
      <c r="G79" s="3"/>
    </row>
    <row r="80" spans="1:7" ht="18.75" x14ac:dyDescent="0.45">
      <c r="A80" s="4"/>
      <c r="E80" s="3"/>
      <c r="G80" s="3"/>
    </row>
    <row r="81" spans="1:7" ht="18.75" x14ac:dyDescent="0.45">
      <c r="A81" s="4"/>
      <c r="E81" s="3"/>
      <c r="G81" s="3"/>
    </row>
    <row r="82" spans="1:7" ht="18.75" x14ac:dyDescent="0.45">
      <c r="A82" s="4"/>
      <c r="E82" s="3"/>
      <c r="G82" s="3"/>
    </row>
    <row r="83" spans="1:7" ht="18.75" x14ac:dyDescent="0.45">
      <c r="A83" s="4"/>
      <c r="E83" s="3"/>
      <c r="G83" s="3"/>
    </row>
    <row r="84" spans="1:7" ht="18.75" x14ac:dyDescent="0.45">
      <c r="A84" s="4"/>
      <c r="E84" s="3"/>
      <c r="G84" s="3"/>
    </row>
    <row r="85" spans="1:7" ht="18.75" x14ac:dyDescent="0.45">
      <c r="A85" s="4"/>
      <c r="E85" s="3"/>
      <c r="G85" s="3"/>
    </row>
    <row r="86" spans="1:7" ht="18.75" x14ac:dyDescent="0.45">
      <c r="A86" s="4"/>
    </row>
    <row r="87" spans="1:7" ht="18.75" x14ac:dyDescent="0.45">
      <c r="A87" s="4"/>
    </row>
    <row r="88" spans="1:7" ht="18.75" x14ac:dyDescent="0.45">
      <c r="A88" s="4"/>
    </row>
    <row r="89" spans="1:7" ht="18.75" x14ac:dyDescent="0.45">
      <c r="A89" s="4"/>
    </row>
    <row r="90" spans="1:7" ht="18.75" x14ac:dyDescent="0.45">
      <c r="A90" s="4"/>
    </row>
    <row r="91" spans="1:7" ht="18.75" x14ac:dyDescent="0.45">
      <c r="A91" s="4"/>
    </row>
    <row r="92" spans="1:7" ht="18.75" x14ac:dyDescent="0.45">
      <c r="A92" s="4"/>
    </row>
    <row r="93" spans="1:7" ht="18.75" x14ac:dyDescent="0.45">
      <c r="A93" s="4"/>
    </row>
    <row r="94" spans="1:7" ht="18.75" x14ac:dyDescent="0.45">
      <c r="A94" s="4"/>
    </row>
    <row r="95" spans="1:7" ht="18.75" x14ac:dyDescent="0.45">
      <c r="A95" s="4"/>
    </row>
    <row r="96" spans="1:7" ht="18.75" x14ac:dyDescent="0.45">
      <c r="A96" s="4"/>
    </row>
    <row r="97" spans="1:1" ht="18.75" x14ac:dyDescent="0.45">
      <c r="A97" s="4"/>
    </row>
    <row r="98" spans="1:1" ht="18.75" x14ac:dyDescent="0.45">
      <c r="A98" s="4"/>
    </row>
    <row r="99" spans="1:1" ht="18.75" x14ac:dyDescent="0.45">
      <c r="A99" s="4"/>
    </row>
    <row r="100" spans="1:1" ht="18.75" x14ac:dyDescent="0.45">
      <c r="A100" s="4"/>
    </row>
    <row r="101" spans="1:1" ht="18.75" x14ac:dyDescent="0.45">
      <c r="A101" s="4"/>
    </row>
    <row r="102" spans="1:1" ht="18.75" x14ac:dyDescent="0.45">
      <c r="A102" s="4"/>
    </row>
  </sheetData>
  <mergeCells count="6">
    <mergeCell ref="A1:Q1"/>
    <mergeCell ref="A2:Q2"/>
    <mergeCell ref="A3:Q3"/>
    <mergeCell ref="A5:Q5"/>
    <mergeCell ref="K7:Q7"/>
    <mergeCell ref="C7:I7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8"/>
  <sheetViews>
    <sheetView rightToLeft="1" view="pageBreakPreview" zoomScaleNormal="100" zoomScaleSheetLayoutView="100" workbookViewId="0">
      <selection activeCell="Q10" sqref="Q10:Q14"/>
    </sheetView>
  </sheetViews>
  <sheetFormatPr defaultColWidth="9" defaultRowHeight="18" x14ac:dyDescent="0.45"/>
  <cols>
    <col min="1" max="1" width="14.625" style="45" customWidth="1"/>
    <col min="2" max="2" width="1.375" style="45" customWidth="1"/>
    <col min="3" max="3" width="8.625" style="45" customWidth="1"/>
    <col min="4" max="4" width="1.375" style="45" customWidth="1"/>
    <col min="5" max="5" width="17" style="45" customWidth="1"/>
    <col min="6" max="6" width="1.375" style="45" customWidth="1"/>
    <col min="7" max="7" width="17.75" style="45" bestFit="1" customWidth="1"/>
    <col min="8" max="8" width="1.375" style="45" customWidth="1"/>
    <col min="9" max="9" width="17" style="45" customWidth="1"/>
    <col min="10" max="10" width="1.375" style="45" customWidth="1"/>
    <col min="11" max="11" width="9.375" style="45" customWidth="1"/>
    <col min="12" max="12" width="1.375" style="45" customWidth="1"/>
    <col min="13" max="13" width="17.875" style="45" bestFit="1" customWidth="1"/>
    <col min="14" max="14" width="1.375" style="45" customWidth="1"/>
    <col min="15" max="15" width="19.25" style="45" bestFit="1" customWidth="1"/>
    <col min="16" max="16" width="1.375" style="45" customWidth="1"/>
    <col min="17" max="17" width="17" style="45" customWidth="1"/>
    <col min="18" max="18" width="1.125" style="45" customWidth="1"/>
    <col min="19" max="19" width="15.125" style="45" customWidth="1"/>
    <col min="20" max="20" width="13.625" style="45" bestFit="1" customWidth="1"/>
    <col min="21" max="16384" width="9" style="45"/>
  </cols>
  <sheetData>
    <row r="1" spans="1:20" ht="25.5" customHeight="1" x14ac:dyDescent="0.45">
      <c r="A1" s="344" t="str">
        <f>+تیتر!B1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</row>
    <row r="2" spans="1:20" ht="25.5" customHeight="1" x14ac:dyDescent="0.45">
      <c r="A2" s="344" t="str">
        <f>+تیتر!B2</f>
        <v>صورت وضعیت پورتفوی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3" spans="1:20" ht="25.5" customHeight="1" x14ac:dyDescent="0.45">
      <c r="A3" s="344" t="str">
        <f>+تیتر!B3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</row>
    <row r="5" spans="1:20" s="56" customFormat="1" ht="25.5" customHeight="1" x14ac:dyDescent="0.55000000000000004">
      <c r="A5" s="380" t="s">
        <v>90</v>
      </c>
      <c r="B5" s="381"/>
      <c r="C5" s="381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142"/>
    </row>
    <row r="6" spans="1:20" ht="16.5" customHeight="1" x14ac:dyDescent="0.45"/>
    <row r="7" spans="1:20" ht="30.75" customHeight="1" x14ac:dyDescent="0.45">
      <c r="C7" s="353" t="str">
        <f>تیتر!A11</f>
        <v>طی مرداد ماه</v>
      </c>
      <c r="D7" s="354"/>
      <c r="E7" s="354"/>
      <c r="F7" s="354"/>
      <c r="G7" s="354"/>
      <c r="H7" s="354"/>
      <c r="I7" s="354"/>
      <c r="K7" s="353" t="str">
        <f>تیتر!B11</f>
        <v>از ابتدای سال مالی تا پایان مرداد ماه 1405</v>
      </c>
      <c r="L7" s="354"/>
      <c r="M7" s="354"/>
      <c r="N7" s="354"/>
      <c r="O7" s="354"/>
      <c r="P7" s="354"/>
      <c r="Q7" s="354"/>
      <c r="R7" s="46"/>
    </row>
    <row r="8" spans="1:20" ht="42" x14ac:dyDescent="0.45">
      <c r="A8" s="5" t="s">
        <v>17</v>
      </c>
      <c r="C8" s="52" t="s">
        <v>2</v>
      </c>
      <c r="E8" s="52" t="s">
        <v>4</v>
      </c>
      <c r="G8" s="52" t="s">
        <v>30</v>
      </c>
      <c r="I8" s="115" t="s">
        <v>92</v>
      </c>
      <c r="K8" s="52" t="s">
        <v>2</v>
      </c>
      <c r="M8" s="52" t="s">
        <v>4</v>
      </c>
      <c r="O8" s="52" t="s">
        <v>30</v>
      </c>
      <c r="Q8" s="115" t="s">
        <v>92</v>
      </c>
      <c r="R8" s="57"/>
    </row>
    <row r="9" spans="1:20" ht="21" customHeight="1" x14ac:dyDescent="0.45">
      <c r="A9" s="4"/>
      <c r="C9" s="3"/>
      <c r="E9" s="3" t="s">
        <v>47</v>
      </c>
      <c r="G9" s="3" t="s">
        <v>47</v>
      </c>
      <c r="I9" s="3" t="s">
        <v>47</v>
      </c>
      <c r="K9" s="3"/>
      <c r="M9" s="3" t="s">
        <v>47</v>
      </c>
      <c r="O9" s="3" t="s">
        <v>47</v>
      </c>
      <c r="Q9" s="3" t="s">
        <v>47</v>
      </c>
      <c r="R9" s="57"/>
      <c r="S9" s="48"/>
      <c r="T9" s="48"/>
    </row>
    <row r="10" spans="1:20" ht="21" customHeight="1" x14ac:dyDescent="0.45">
      <c r="A10" s="160" t="s">
        <v>122</v>
      </c>
      <c r="C10" s="3"/>
      <c r="E10" s="53">
        <v>0</v>
      </c>
      <c r="F10" s="249"/>
      <c r="G10" s="53">
        <v>0</v>
      </c>
      <c r="H10" s="249"/>
      <c r="I10" s="53">
        <v>0</v>
      </c>
      <c r="K10" s="3">
        <v>1</v>
      </c>
      <c r="M10" s="53">
        <v>0</v>
      </c>
      <c r="N10" s="53"/>
      <c r="O10" s="53">
        <v>0</v>
      </c>
      <c r="Q10" s="3">
        <v>0</v>
      </c>
      <c r="R10" s="57"/>
      <c r="S10" s="48"/>
      <c r="T10" s="48"/>
    </row>
    <row r="11" spans="1:20" ht="25.5" customHeight="1" x14ac:dyDescent="0.45">
      <c r="A11" s="160" t="s">
        <v>104</v>
      </c>
      <c r="B11" s="151"/>
      <c r="C11" s="167" t="s">
        <v>105</v>
      </c>
      <c r="D11" s="151"/>
      <c r="E11" s="159">
        <v>0</v>
      </c>
      <c r="F11" s="159"/>
      <c r="G11" s="159">
        <v>0</v>
      </c>
      <c r="H11" s="159"/>
      <c r="I11" s="159">
        <v>0</v>
      </c>
      <c r="J11" s="168"/>
      <c r="K11" s="168">
        <v>2</v>
      </c>
      <c r="L11" s="168"/>
      <c r="M11" s="53">
        <v>0</v>
      </c>
      <c r="N11" s="53"/>
      <c r="O11" s="53">
        <v>0</v>
      </c>
      <c r="P11" s="168"/>
      <c r="Q11" s="3">
        <v>0</v>
      </c>
      <c r="R11" s="55"/>
      <c r="S11" s="55"/>
      <c r="T11" s="110"/>
    </row>
    <row r="12" spans="1:20" ht="25.5" customHeight="1" x14ac:dyDescent="0.45">
      <c r="A12" s="160" t="s">
        <v>113</v>
      </c>
      <c r="B12" s="151"/>
      <c r="C12" s="167" t="s">
        <v>105</v>
      </c>
      <c r="D12" s="151"/>
      <c r="E12" s="159">
        <v>0</v>
      </c>
      <c r="F12" s="159"/>
      <c r="G12" s="159">
        <v>0</v>
      </c>
      <c r="H12" s="159"/>
      <c r="I12" s="159">
        <v>0</v>
      </c>
      <c r="J12" s="168"/>
      <c r="K12" s="168">
        <v>1</v>
      </c>
      <c r="L12" s="168"/>
      <c r="M12" s="53">
        <v>0</v>
      </c>
      <c r="N12" s="53"/>
      <c r="O12" s="53">
        <v>0</v>
      </c>
      <c r="P12" s="168"/>
      <c r="Q12" s="3">
        <v>0</v>
      </c>
      <c r="R12" s="55"/>
      <c r="S12" s="55"/>
      <c r="T12" s="110"/>
    </row>
    <row r="13" spans="1:20" s="276" customFormat="1" ht="25.5" customHeight="1" x14ac:dyDescent="0.45">
      <c r="A13" s="160" t="s">
        <v>118</v>
      </c>
      <c r="B13" s="151"/>
      <c r="C13" s="167">
        <v>1</v>
      </c>
      <c r="D13" s="151"/>
      <c r="E13" s="159">
        <v>0</v>
      </c>
      <c r="F13" s="159"/>
      <c r="G13" s="159">
        <v>0</v>
      </c>
      <c r="H13" s="159"/>
      <c r="I13" s="159">
        <f>E13+G13</f>
        <v>0</v>
      </c>
      <c r="J13" s="168"/>
      <c r="K13" s="168">
        <v>1</v>
      </c>
      <c r="L13" s="168"/>
      <c r="M13" s="53">
        <v>0</v>
      </c>
      <c r="N13" s="53"/>
      <c r="O13" s="53">
        <v>0</v>
      </c>
      <c r="P13" s="159"/>
      <c r="Q13" s="3">
        <v>0</v>
      </c>
      <c r="R13" s="55"/>
      <c r="S13" s="55"/>
      <c r="T13" s="110"/>
    </row>
    <row r="14" spans="1:20" s="276" customFormat="1" ht="25.5" customHeight="1" x14ac:dyDescent="0.45">
      <c r="A14" s="160" t="s">
        <v>121</v>
      </c>
      <c r="B14" s="151"/>
      <c r="C14" s="167">
        <v>1</v>
      </c>
      <c r="D14" s="151"/>
      <c r="E14" s="159">
        <v>0</v>
      </c>
      <c r="F14" s="159"/>
      <c r="G14" s="159">
        <v>0</v>
      </c>
      <c r="H14" s="159"/>
      <c r="I14" s="159">
        <f>E14+G14</f>
        <v>0</v>
      </c>
      <c r="J14" s="168"/>
      <c r="K14" s="168">
        <v>1</v>
      </c>
      <c r="L14" s="168"/>
      <c r="M14" s="53">
        <v>0</v>
      </c>
      <c r="N14" s="53"/>
      <c r="O14" s="53">
        <v>0</v>
      </c>
      <c r="P14" s="159"/>
      <c r="Q14" s="3">
        <v>0</v>
      </c>
      <c r="R14" s="55"/>
      <c r="S14" s="55"/>
      <c r="T14" s="110"/>
    </row>
    <row r="15" spans="1:20" ht="25.5" customHeight="1" thickBot="1" x14ac:dyDescent="0.5">
      <c r="A15" s="156"/>
      <c r="B15" s="156"/>
      <c r="C15" s="184"/>
      <c r="D15" s="156"/>
      <c r="E15" s="182">
        <f>SUM(E10:E14)</f>
        <v>0</v>
      </c>
      <c r="F15" s="168"/>
      <c r="G15" s="182">
        <f>SUM(G10:G14)</f>
        <v>0</v>
      </c>
      <c r="H15" s="168"/>
      <c r="I15" s="182">
        <f>SUM(I10:I14)</f>
        <v>0</v>
      </c>
      <c r="J15" s="168"/>
      <c r="K15" s="242"/>
      <c r="L15" s="168"/>
      <c r="M15" s="243">
        <f>SUM(M10:M14)</f>
        <v>0</v>
      </c>
      <c r="N15" s="168"/>
      <c r="O15" s="243">
        <f>SUM(O10:O14)</f>
        <v>0</v>
      </c>
      <c r="P15" s="168"/>
      <c r="Q15" s="243">
        <f>SUM(Q10:Q14)</f>
        <v>0</v>
      </c>
      <c r="R15" s="57"/>
      <c r="S15" s="55"/>
    </row>
    <row r="16" spans="1:20" ht="6" customHeight="1" thickTop="1" x14ac:dyDescent="0.45">
      <c r="D16" s="3"/>
      <c r="E16" s="49"/>
      <c r="G16" s="49"/>
      <c r="I16" s="49"/>
      <c r="J16" s="3"/>
      <c r="K16" s="3"/>
      <c r="L16" s="3"/>
      <c r="M16" s="49"/>
      <c r="N16" s="3"/>
      <c r="O16" s="49"/>
      <c r="P16" s="3"/>
      <c r="Q16" s="49"/>
      <c r="R16" s="57"/>
    </row>
    <row r="17" spans="1:18" ht="21" x14ac:dyDescent="0.45">
      <c r="A17" s="183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3"/>
      <c r="R17" s="57"/>
    </row>
    <row r="18" spans="1:18" ht="21" x14ac:dyDescent="0.45">
      <c r="A18" s="376" t="s">
        <v>31</v>
      </c>
      <c r="B18" s="377"/>
      <c r="C18" s="377"/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8"/>
      <c r="Q18" s="379"/>
      <c r="R18" s="57"/>
    </row>
    <row r="19" spans="1:18" ht="21" hidden="1" x14ac:dyDescent="0.45">
      <c r="Q19" s="55">
        <v>404211646970</v>
      </c>
      <c r="R19" s="57"/>
    </row>
    <row r="20" spans="1:18" ht="21" hidden="1" x14ac:dyDescent="0.45">
      <c r="G20" s="55"/>
      <c r="Q20" s="192">
        <f>Q15-Q19</f>
        <v>-404211646970</v>
      </c>
      <c r="R20" s="57"/>
    </row>
    <row r="21" spans="1:18" hidden="1" x14ac:dyDescent="0.45">
      <c r="Q21" s="55"/>
    </row>
    <row r="22" spans="1:18" ht="18.75" x14ac:dyDescent="0.45">
      <c r="E22" s="92"/>
      <c r="G22" s="55"/>
      <c r="I22" s="92"/>
      <c r="M22" s="159"/>
      <c r="Q22" s="55"/>
    </row>
    <row r="23" spans="1:18" ht="18.75" x14ac:dyDescent="0.45">
      <c r="I23" s="55"/>
      <c r="M23" s="159"/>
      <c r="Q23" s="55"/>
    </row>
    <row r="24" spans="1:18" ht="18.75" x14ac:dyDescent="0.45">
      <c r="I24" s="55"/>
      <c r="M24" s="159"/>
      <c r="O24" s="92"/>
    </row>
    <row r="25" spans="1:18" ht="18.75" x14ac:dyDescent="0.45">
      <c r="I25" s="99"/>
      <c r="M25" s="159"/>
    </row>
    <row r="26" spans="1:18" x14ac:dyDescent="0.45">
      <c r="I26" s="55"/>
      <c r="M26" s="92"/>
    </row>
    <row r="27" spans="1:18" x14ac:dyDescent="0.45">
      <c r="I27" s="99"/>
    </row>
    <row r="28" spans="1:18" x14ac:dyDescent="0.45">
      <c r="G28" s="55"/>
      <c r="I28" s="92"/>
    </row>
  </sheetData>
  <mergeCells count="7">
    <mergeCell ref="A18:Q18"/>
    <mergeCell ref="A1:Q1"/>
    <mergeCell ref="A2:Q2"/>
    <mergeCell ref="A3:Q3"/>
    <mergeCell ref="A5:Q5"/>
    <mergeCell ref="C7:I7"/>
    <mergeCell ref="K7:Q7"/>
  </mergeCells>
  <printOptions horizontalCentered="1"/>
  <pageMargins left="0.51181102362204722" right="0.51181102362204722" top="0.74803149606299213" bottom="0.55118110236220474" header="0.31496062992125984" footer="0.31496062992125984"/>
  <pageSetup paperSize="9" scale="8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101"/>
  <sheetViews>
    <sheetView rightToLeft="1" view="pageBreakPreview" topLeftCell="A4" zoomScaleNormal="100" zoomScaleSheetLayoutView="100" workbookViewId="0">
      <selection activeCell="O17" sqref="O17"/>
    </sheetView>
  </sheetViews>
  <sheetFormatPr defaultColWidth="9.125" defaultRowHeight="18" x14ac:dyDescent="0.45"/>
  <cols>
    <col min="1" max="1" width="21.875" style="45" customWidth="1"/>
    <col min="2" max="2" width="0.625" style="45" customWidth="1"/>
    <col min="3" max="3" width="13" style="45" bestFit="1" customWidth="1"/>
    <col min="4" max="4" width="0.875" style="45" customWidth="1"/>
    <col min="5" max="5" width="16.375" style="45" customWidth="1"/>
    <col min="6" max="6" width="0.875" style="45" customWidth="1"/>
    <col min="7" max="7" width="13.875" style="45" bestFit="1" customWidth="1"/>
    <col min="8" max="8" width="1" style="45" customWidth="1"/>
    <col min="9" max="9" width="15.625" style="45" customWidth="1"/>
    <col min="10" max="10" width="1.375" style="45" customWidth="1"/>
    <col min="11" max="11" width="11.25" style="94" customWidth="1"/>
    <col min="12" max="12" width="1.25" style="45" customWidth="1"/>
    <col min="13" max="13" width="15.25" style="45" customWidth="1"/>
    <col min="14" max="14" width="1" style="45" customWidth="1"/>
    <col min="15" max="15" width="16" style="45" customWidth="1"/>
    <col min="16" max="16" width="0.875" style="45" customWidth="1"/>
    <col min="17" max="17" width="15.75" style="45" customWidth="1"/>
    <col min="18" max="18" width="1" style="45" customWidth="1"/>
    <col min="19" max="19" width="18.5" style="45" customWidth="1"/>
    <col min="20" max="20" width="0.875" style="45" customWidth="1"/>
    <col min="21" max="21" width="13.125" style="45" customWidth="1"/>
    <col min="22" max="22" width="1.375" style="301" customWidth="1"/>
    <col min="23" max="16384" width="9.125" style="45"/>
  </cols>
  <sheetData>
    <row r="1" spans="1:23" ht="27.75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</row>
    <row r="2" spans="1:23" ht="27.75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</row>
    <row r="3" spans="1:23" ht="27.75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</row>
    <row r="4" spans="1:23" ht="35.25" customHeight="1" x14ac:dyDescent="0.45"/>
    <row r="5" spans="1:23" s="130" customFormat="1" ht="30.75" customHeight="1" x14ac:dyDescent="0.6">
      <c r="A5" s="373" t="s">
        <v>77</v>
      </c>
      <c r="B5" s="374"/>
      <c r="C5" s="374"/>
      <c r="D5" s="374"/>
      <c r="E5" s="374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03"/>
    </row>
    <row r="6" spans="1:23" ht="36.75" customHeight="1" x14ac:dyDescent="0.45"/>
    <row r="7" spans="1:23" ht="30" customHeight="1" x14ac:dyDescent="0.45">
      <c r="C7" s="353" t="str">
        <f>تیتر!A11</f>
        <v>طی مرداد ماه</v>
      </c>
      <c r="D7" s="354"/>
      <c r="E7" s="354"/>
      <c r="F7" s="354"/>
      <c r="G7" s="354"/>
      <c r="H7" s="354"/>
      <c r="I7" s="354"/>
      <c r="J7" s="354"/>
      <c r="K7" s="354"/>
      <c r="M7" s="353" t="str">
        <f>تیتر!B11</f>
        <v>از ابتدای سال مالی تا پایان مرداد ماه 1405</v>
      </c>
      <c r="N7" s="354"/>
      <c r="O7" s="354"/>
      <c r="P7" s="354"/>
      <c r="Q7" s="354"/>
      <c r="R7" s="354"/>
      <c r="S7" s="354"/>
      <c r="T7" s="354"/>
      <c r="U7" s="354"/>
      <c r="V7" s="313"/>
    </row>
    <row r="8" spans="1:23" ht="59.25" customHeight="1" x14ac:dyDescent="0.45">
      <c r="A8" s="208" t="s">
        <v>32</v>
      </c>
      <c r="C8" s="266" t="s">
        <v>78</v>
      </c>
      <c r="D8" s="57"/>
      <c r="E8" s="207" t="s">
        <v>79</v>
      </c>
      <c r="F8" s="57"/>
      <c r="G8" s="207" t="s">
        <v>80</v>
      </c>
      <c r="I8" s="209" t="s">
        <v>33</v>
      </c>
      <c r="K8" s="210" t="s">
        <v>34</v>
      </c>
      <c r="M8" s="209" t="s">
        <v>78</v>
      </c>
      <c r="O8" s="209" t="s">
        <v>79</v>
      </c>
      <c r="Q8" s="209" t="s">
        <v>80</v>
      </c>
      <c r="S8" s="209" t="s">
        <v>33</v>
      </c>
      <c r="U8" s="209" t="s">
        <v>34</v>
      </c>
      <c r="V8" s="314"/>
    </row>
    <row r="9" spans="1:23" ht="19.5" customHeight="1" x14ac:dyDescent="0.45">
      <c r="A9" s="47"/>
      <c r="C9" s="265" t="s">
        <v>47</v>
      </c>
      <c r="D9" s="3"/>
      <c r="E9" s="3" t="s">
        <v>47</v>
      </c>
      <c r="F9" s="3"/>
      <c r="G9" s="3" t="s">
        <v>47</v>
      </c>
      <c r="H9" s="3"/>
      <c r="I9" s="3" t="s">
        <v>47</v>
      </c>
      <c r="J9" s="3"/>
      <c r="K9" s="91"/>
      <c r="L9" s="3"/>
      <c r="M9" s="3" t="s">
        <v>47</v>
      </c>
      <c r="N9" s="3"/>
      <c r="O9" s="3" t="s">
        <v>47</v>
      </c>
      <c r="P9" s="3"/>
      <c r="Q9" s="3" t="s">
        <v>47</v>
      </c>
      <c r="R9" s="3"/>
      <c r="S9" s="7" t="s">
        <v>47</v>
      </c>
      <c r="T9" s="48"/>
      <c r="U9" s="101" t="s">
        <v>43</v>
      </c>
      <c r="V9" s="302"/>
      <c r="W9" s="45">
        <v>-1</v>
      </c>
    </row>
    <row r="10" spans="1:23" s="150" customFormat="1" ht="25.5" customHeight="1" x14ac:dyDescent="0.2">
      <c r="A10" s="199" t="s">
        <v>106</v>
      </c>
      <c r="B10" s="244"/>
      <c r="C10" s="271">
        <v>0</v>
      </c>
      <c r="D10" s="198"/>
      <c r="E10" s="168">
        <v>804680755</v>
      </c>
      <c r="F10" s="198"/>
      <c r="G10" s="168">
        <v>0</v>
      </c>
      <c r="H10" s="198"/>
      <c r="I10" s="168">
        <f>C10+E10+G10</f>
        <v>804680755</v>
      </c>
      <c r="J10" s="98"/>
      <c r="K10" s="272">
        <f>I10/درآمدها!$E$15*100</f>
        <v>3.0376074024252114E-2</v>
      </c>
      <c r="L10" s="98"/>
      <c r="M10" s="150">
        <v>0</v>
      </c>
      <c r="O10" s="168">
        <v>-16273982637</v>
      </c>
      <c r="P10" s="198"/>
      <c r="Q10" s="168">
        <v>-1415030230</v>
      </c>
      <c r="R10" s="168">
        <v>-1626112648</v>
      </c>
      <c r="S10" s="168">
        <f>M10+O10+Q10</f>
        <v>-17689012867</v>
      </c>
      <c r="T10" s="171">
        <v>-42189159980</v>
      </c>
      <c r="U10" s="273">
        <f>S10/درآمدها!$J$15*100</f>
        <v>-0.65977647810331641</v>
      </c>
      <c r="V10" s="273"/>
    </row>
    <row r="11" spans="1:23" s="150" customFormat="1" ht="25.5" customHeight="1" x14ac:dyDescent="0.2">
      <c r="A11" s="199" t="s">
        <v>115</v>
      </c>
      <c r="B11" s="244"/>
      <c r="C11" s="167">
        <v>0</v>
      </c>
      <c r="D11" s="198"/>
      <c r="E11" s="168">
        <v>1192222175</v>
      </c>
      <c r="F11" s="198"/>
      <c r="G11" s="168">
        <v>0</v>
      </c>
      <c r="H11" s="198"/>
      <c r="I11" s="168">
        <f t="shared" ref="I11:I17" si="0">C11+E11+G11</f>
        <v>1192222175</v>
      </c>
      <c r="J11" s="98"/>
      <c r="K11" s="272">
        <f>I11/درآمدها!$E$15*100</f>
        <v>4.5005461875566859E-2</v>
      </c>
      <c r="L11" s="98"/>
      <c r="M11" s="150">
        <v>0</v>
      </c>
      <c r="O11" s="168">
        <v>1550429017</v>
      </c>
      <c r="P11" s="198"/>
      <c r="Q11" s="168">
        <v>988787129</v>
      </c>
      <c r="R11" s="168">
        <v>884340102</v>
      </c>
      <c r="S11" s="168">
        <f t="shared" ref="S11:S17" si="1">M11+O11+Q11</f>
        <v>2539216146</v>
      </c>
      <c r="T11" s="171"/>
      <c r="U11" s="273">
        <f>S11/درآمدها!$J$15*100</f>
        <v>9.4709359903082296E-2</v>
      </c>
      <c r="V11" s="273"/>
    </row>
    <row r="12" spans="1:23" s="150" customFormat="1" ht="25.5" customHeight="1" x14ac:dyDescent="0.2">
      <c r="A12" s="199" t="s">
        <v>63</v>
      </c>
      <c r="B12" s="244"/>
      <c r="C12" s="167">
        <v>0</v>
      </c>
      <c r="D12" s="198"/>
      <c r="E12" s="168">
        <v>1156322348</v>
      </c>
      <c r="F12" s="198"/>
      <c r="G12" s="168">
        <v>0</v>
      </c>
      <c r="H12" s="198"/>
      <c r="I12" s="168">
        <f t="shared" si="0"/>
        <v>1156322348</v>
      </c>
      <c r="J12" s="98"/>
      <c r="K12" s="272">
        <f>I12/درآمدها!$E$15*100</f>
        <v>4.3650271266578271E-2</v>
      </c>
      <c r="L12" s="98"/>
      <c r="M12" s="150">
        <v>0</v>
      </c>
      <c r="O12" s="168">
        <v>1156322348</v>
      </c>
      <c r="P12" s="198"/>
      <c r="Q12" s="168">
        <v>1693732758</v>
      </c>
      <c r="R12" s="168">
        <v>750412982</v>
      </c>
      <c r="S12" s="168">
        <f t="shared" si="1"/>
        <v>2850055106</v>
      </c>
      <c r="T12" s="171">
        <v>-3005939714</v>
      </c>
      <c r="U12" s="273">
        <f>S12/درآمدها!$J$15*100</f>
        <v>0.10630323661220582</v>
      </c>
      <c r="V12" s="273"/>
    </row>
    <row r="13" spans="1:23" s="150" customFormat="1" ht="25.5" customHeight="1" x14ac:dyDescent="0.2">
      <c r="A13" s="199" t="s">
        <v>69</v>
      </c>
      <c r="B13" s="244"/>
      <c r="C13" s="167">
        <v>0</v>
      </c>
      <c r="D13" s="198"/>
      <c r="E13" s="168">
        <v>2187955350</v>
      </c>
      <c r="F13" s="198"/>
      <c r="G13" s="168">
        <v>0</v>
      </c>
      <c r="H13" s="198"/>
      <c r="I13" s="168">
        <f t="shared" si="0"/>
        <v>2187955350</v>
      </c>
      <c r="J13" s="98"/>
      <c r="K13" s="272">
        <f>I13/درآمدها!$E$15*100</f>
        <v>8.2593616487520477E-2</v>
      </c>
      <c r="L13" s="98"/>
      <c r="M13" s="150">
        <v>0</v>
      </c>
      <c r="O13" s="168">
        <v>3604916921</v>
      </c>
      <c r="P13" s="198"/>
      <c r="Q13" s="168">
        <v>6621629807</v>
      </c>
      <c r="R13" s="168">
        <v>6205063366</v>
      </c>
      <c r="S13" s="168">
        <f t="shared" si="1"/>
        <v>10226546728</v>
      </c>
      <c r="T13" s="171"/>
      <c r="U13" s="273">
        <f>S13/درآمدها!$J$15*100</f>
        <v>0.38143649021513454</v>
      </c>
      <c r="V13" s="273"/>
    </row>
    <row r="14" spans="1:23" s="150" customFormat="1" ht="25.5" customHeight="1" x14ac:dyDescent="0.2">
      <c r="A14" s="199" t="s">
        <v>62</v>
      </c>
      <c r="B14" s="244"/>
      <c r="C14" s="167">
        <v>0</v>
      </c>
      <c r="D14" s="198"/>
      <c r="E14" s="168">
        <v>201523310</v>
      </c>
      <c r="F14" s="198"/>
      <c r="G14" s="168">
        <v>0</v>
      </c>
      <c r="H14" s="198"/>
      <c r="I14" s="168">
        <f t="shared" si="0"/>
        <v>201523310</v>
      </c>
      <c r="J14" s="98"/>
      <c r="K14" s="272">
        <f>I14/درآمدها!$E$15*100</f>
        <v>7.6073485592088076E-3</v>
      </c>
      <c r="L14" s="98"/>
      <c r="M14" s="150">
        <v>0</v>
      </c>
      <c r="O14" s="168">
        <v>176830727</v>
      </c>
      <c r="P14" s="198"/>
      <c r="Q14" s="168">
        <v>-142680500</v>
      </c>
      <c r="R14" s="168">
        <v>-205331628</v>
      </c>
      <c r="S14" s="168">
        <f t="shared" si="1"/>
        <v>34150227</v>
      </c>
      <c r="T14" s="171">
        <v>-397206350</v>
      </c>
      <c r="U14" s="273">
        <f>S14/درآمدها!$J$15*100</f>
        <v>1.2737577085786846E-3</v>
      </c>
      <c r="V14" s="273"/>
    </row>
    <row r="15" spans="1:23" s="150" customFormat="1" ht="25.5" customHeight="1" x14ac:dyDescent="0.2">
      <c r="A15" s="199" t="s">
        <v>68</v>
      </c>
      <c r="B15" s="244"/>
      <c r="C15" s="167"/>
      <c r="D15" s="198"/>
      <c r="E15" s="168">
        <v>741985533</v>
      </c>
      <c r="F15" s="198"/>
      <c r="G15" s="168">
        <v>0</v>
      </c>
      <c r="H15" s="198"/>
      <c r="I15" s="168">
        <f>C15+E15+G15</f>
        <v>741985533</v>
      </c>
      <c r="J15" s="98"/>
      <c r="K15" s="272">
        <f>I15/درآمدها!$E$15*100</f>
        <v>2.8009378048729591E-2</v>
      </c>
      <c r="L15" s="98"/>
      <c r="O15" s="168">
        <v>984188053</v>
      </c>
      <c r="P15" s="198"/>
      <c r="Q15" s="168">
        <v>183150669</v>
      </c>
      <c r="R15" s="168"/>
      <c r="S15" s="168">
        <f>M15+O15+Q15</f>
        <v>1167338722</v>
      </c>
      <c r="T15" s="171"/>
      <c r="U15" s="273">
        <f>S15/درآمدها!$J$15*100</f>
        <v>4.3540170191837667E-2</v>
      </c>
      <c r="V15" s="273"/>
    </row>
    <row r="16" spans="1:23" s="150" customFormat="1" ht="25.5" customHeight="1" x14ac:dyDescent="0.2">
      <c r="A16" s="199" t="s">
        <v>151</v>
      </c>
      <c r="B16" s="244"/>
      <c r="C16" s="167">
        <v>0</v>
      </c>
      <c r="D16" s="198"/>
      <c r="E16" s="168">
        <v>7683279775</v>
      </c>
      <c r="F16" s="198"/>
      <c r="G16" s="168">
        <v>0</v>
      </c>
      <c r="H16" s="198"/>
      <c r="I16" s="168">
        <f t="shared" si="0"/>
        <v>7683279775</v>
      </c>
      <c r="J16" s="98"/>
      <c r="K16" s="272">
        <f>I16/درآمدها!$E$15*100</f>
        <v>0.29003784885403294</v>
      </c>
      <c r="L16" s="98"/>
      <c r="M16" s="150">
        <v>0</v>
      </c>
      <c r="O16" s="168">
        <v>7683279776</v>
      </c>
      <c r="P16" s="198"/>
      <c r="Q16" s="168">
        <v>0</v>
      </c>
      <c r="R16" s="168">
        <v>144223988</v>
      </c>
      <c r="S16" s="168">
        <f t="shared" si="1"/>
        <v>7683279776</v>
      </c>
      <c r="T16" s="171">
        <v>-1095409092</v>
      </c>
      <c r="U16" s="273">
        <f>S16/درآمدها!$J$15*100</f>
        <v>0.28657604067600223</v>
      </c>
      <c r="V16" s="273"/>
    </row>
    <row r="17" spans="1:22" s="150" customFormat="1" ht="25.5" customHeight="1" x14ac:dyDescent="0.2">
      <c r="A17" s="199" t="s">
        <v>74</v>
      </c>
      <c r="B17" s="244"/>
      <c r="C17" s="167">
        <v>0</v>
      </c>
      <c r="D17" s="198"/>
      <c r="E17" s="168">
        <v>14287679606</v>
      </c>
      <c r="F17" s="198"/>
      <c r="G17" s="168">
        <v>0</v>
      </c>
      <c r="H17" s="198"/>
      <c r="I17" s="168">
        <f t="shared" si="0"/>
        <v>14287679606</v>
      </c>
      <c r="J17" s="98"/>
      <c r="K17" s="272">
        <f>I17/درآمدها!$E$15*100</f>
        <v>0.53934881709287708</v>
      </c>
      <c r="L17" s="98"/>
      <c r="M17" s="150">
        <v>0</v>
      </c>
      <c r="O17" s="168">
        <v>10376527088</v>
      </c>
      <c r="P17" s="198"/>
      <c r="Q17" s="168">
        <v>0</v>
      </c>
      <c r="R17" s="168">
        <v>0</v>
      </c>
      <c r="S17" s="168">
        <f t="shared" si="1"/>
        <v>10376527088</v>
      </c>
      <c r="T17" s="171"/>
      <c r="U17" s="273">
        <f>S17/درآمدها!$J$15*100</f>
        <v>0.38703055668167391</v>
      </c>
      <c r="V17" s="273"/>
    </row>
    <row r="18" spans="1:22" ht="27.75" customHeight="1" thickBot="1" x14ac:dyDescent="0.5">
      <c r="A18" s="3"/>
      <c r="C18" s="100">
        <f>SUM(C10:C17)</f>
        <v>0</v>
      </c>
      <c r="D18" s="113"/>
      <c r="E18" s="100">
        <f>SUM(E10:E17)</f>
        <v>28255648852</v>
      </c>
      <c r="F18" s="113"/>
      <c r="G18" s="100">
        <f>SUM(G10:G17)</f>
        <v>0</v>
      </c>
      <c r="H18" s="113"/>
      <c r="I18" s="100">
        <f>SUM(I10:I17)</f>
        <v>28255648852</v>
      </c>
      <c r="J18" s="113"/>
      <c r="K18" s="202">
        <f>SUM(K10:K17)</f>
        <v>1.066628816208766</v>
      </c>
      <c r="L18" s="113"/>
      <c r="M18" s="100">
        <f>SUM(M10:M17)</f>
        <v>0</v>
      </c>
      <c r="N18" s="113"/>
      <c r="O18" s="100">
        <f>SUM(O10:O17)</f>
        <v>9258511293</v>
      </c>
      <c r="P18" s="113"/>
      <c r="Q18" s="100">
        <f>SUM(Q10:Q17)</f>
        <v>7929589633</v>
      </c>
      <c r="R18" s="113"/>
      <c r="S18" s="146">
        <f>SUM(S10:S17)</f>
        <v>17188100926</v>
      </c>
      <c r="T18" s="113"/>
      <c r="U18" s="202">
        <f>SUM(U10:U17)</f>
        <v>0.64109313388519862</v>
      </c>
      <c r="V18" s="315"/>
    </row>
    <row r="19" spans="1:22" ht="7.5" customHeight="1" thickTop="1" x14ac:dyDescent="0.45">
      <c r="C19" s="187"/>
    </row>
    <row r="20" spans="1:22" ht="18.75" x14ac:dyDescent="0.45">
      <c r="E20" s="90"/>
      <c r="G20" s="90"/>
      <c r="I20" s="90"/>
      <c r="M20" s="55"/>
      <c r="O20" s="90"/>
      <c r="Q20" s="90"/>
    </row>
    <row r="21" spans="1:22" x14ac:dyDescent="0.45">
      <c r="E21" s="92"/>
      <c r="G21" s="92"/>
      <c r="M21" s="92"/>
      <c r="N21" s="92"/>
      <c r="O21" s="92"/>
      <c r="Q21" s="92"/>
    </row>
    <row r="22" spans="1:22" ht="18.75" x14ac:dyDescent="0.45">
      <c r="A22" s="4"/>
      <c r="C22" s="3"/>
      <c r="E22" s="3"/>
      <c r="G22" s="3"/>
      <c r="I22" s="3"/>
      <c r="M22" s="55"/>
      <c r="O22" s="55"/>
      <c r="Q22" s="55"/>
    </row>
    <row r="23" spans="1:22" ht="18.75" x14ac:dyDescent="0.45">
      <c r="A23" s="4"/>
      <c r="C23" s="3">
        <v>93000000</v>
      </c>
      <c r="E23" s="3"/>
      <c r="G23" s="3"/>
      <c r="I23" s="3"/>
      <c r="M23" s="99"/>
      <c r="O23" s="99"/>
      <c r="P23" s="99"/>
      <c r="Q23" s="99"/>
    </row>
    <row r="24" spans="1:22" ht="18.75" x14ac:dyDescent="0.45">
      <c r="A24" s="4"/>
      <c r="C24" s="3"/>
      <c r="E24" s="3"/>
      <c r="G24" s="3"/>
      <c r="I24" s="3"/>
      <c r="Q24" s="92"/>
    </row>
    <row r="25" spans="1:22" ht="18.75" x14ac:dyDescent="0.45">
      <c r="A25" s="4"/>
      <c r="C25" s="3"/>
      <c r="E25" s="3"/>
      <c r="G25" s="3"/>
      <c r="I25" s="3"/>
      <c r="Q25" s="92"/>
    </row>
    <row r="26" spans="1:22" ht="18.75" x14ac:dyDescent="0.45">
      <c r="A26" s="4"/>
      <c r="C26" s="3"/>
      <c r="E26" s="3"/>
      <c r="G26" s="3"/>
      <c r="I26" s="3"/>
      <c r="Q26" s="92"/>
    </row>
    <row r="27" spans="1:22" ht="18.75" x14ac:dyDescent="0.45">
      <c r="A27" s="4"/>
      <c r="C27" s="3"/>
      <c r="E27" s="3"/>
      <c r="G27" s="3"/>
      <c r="I27" s="3"/>
      <c r="Q27" s="55"/>
    </row>
    <row r="28" spans="1:22" ht="18.75" x14ac:dyDescent="0.45">
      <c r="A28" s="4"/>
      <c r="C28" s="3"/>
      <c r="E28" s="3"/>
      <c r="G28" s="3"/>
      <c r="I28" s="3"/>
      <c r="Q28" s="92"/>
    </row>
    <row r="29" spans="1:22" ht="18.75" x14ac:dyDescent="0.45">
      <c r="A29" s="4"/>
      <c r="C29" s="3"/>
      <c r="E29" s="3"/>
      <c r="G29" s="3"/>
      <c r="I29" s="3"/>
      <c r="Q29" s="92"/>
    </row>
    <row r="30" spans="1:22" ht="18.75" x14ac:dyDescent="0.45">
      <c r="A30" s="4"/>
      <c r="C30" s="3"/>
      <c r="E30" s="3"/>
      <c r="G30" s="3"/>
      <c r="I30" s="3"/>
    </row>
    <row r="31" spans="1:22" ht="18.75" x14ac:dyDescent="0.45">
      <c r="A31" s="4"/>
      <c r="C31" s="3"/>
      <c r="E31" s="3"/>
      <c r="G31" s="3"/>
      <c r="I31" s="3"/>
    </row>
    <row r="32" spans="1:22" ht="18.75" x14ac:dyDescent="0.45">
      <c r="A32" s="4"/>
      <c r="C32" s="3"/>
      <c r="E32" s="3"/>
      <c r="G32" s="3"/>
      <c r="I32" s="3"/>
    </row>
    <row r="33" spans="1:9" ht="18.75" x14ac:dyDescent="0.45">
      <c r="A33" s="4"/>
      <c r="C33" s="3"/>
      <c r="E33" s="3"/>
      <c r="G33" s="3"/>
      <c r="I33" s="3"/>
    </row>
    <row r="34" spans="1:9" ht="18.75" x14ac:dyDescent="0.45">
      <c r="A34" s="4"/>
      <c r="C34" s="3"/>
      <c r="E34" s="3"/>
      <c r="G34" s="3"/>
      <c r="I34" s="3"/>
    </row>
    <row r="35" spans="1:9" ht="18.75" x14ac:dyDescent="0.45">
      <c r="A35" s="4"/>
      <c r="C35" s="3"/>
      <c r="E35" s="3"/>
      <c r="G35" s="3"/>
      <c r="I35" s="3"/>
    </row>
    <row r="36" spans="1:9" ht="18.75" x14ac:dyDescent="0.45">
      <c r="A36" s="4"/>
      <c r="C36" s="3"/>
      <c r="E36" s="3"/>
      <c r="G36" s="3"/>
      <c r="I36" s="3"/>
    </row>
    <row r="37" spans="1:9" ht="18.75" x14ac:dyDescent="0.45">
      <c r="A37" s="4"/>
      <c r="C37" s="3"/>
      <c r="E37" s="3"/>
      <c r="G37" s="3"/>
      <c r="I37" s="3"/>
    </row>
    <row r="38" spans="1:9" ht="18.75" x14ac:dyDescent="0.45">
      <c r="A38" s="4"/>
      <c r="C38" s="3"/>
      <c r="E38" s="3"/>
      <c r="G38" s="3"/>
      <c r="I38" s="3"/>
    </row>
    <row r="39" spans="1:9" ht="18.75" x14ac:dyDescent="0.45">
      <c r="A39" s="4"/>
      <c r="C39" s="3"/>
      <c r="E39" s="3"/>
      <c r="G39" s="3"/>
      <c r="I39" s="3"/>
    </row>
    <row r="40" spans="1:9" ht="18.75" x14ac:dyDescent="0.45">
      <c r="A40" s="4"/>
      <c r="C40" s="3"/>
      <c r="E40" s="3"/>
      <c r="G40" s="3"/>
      <c r="I40" s="3"/>
    </row>
    <row r="41" spans="1:9" ht="18.75" x14ac:dyDescent="0.45">
      <c r="A41" s="4"/>
      <c r="C41" s="3"/>
      <c r="E41" s="3"/>
      <c r="G41" s="3"/>
      <c r="I41" s="3"/>
    </row>
    <row r="42" spans="1:9" ht="18.75" x14ac:dyDescent="0.45">
      <c r="A42" s="4"/>
      <c r="C42" s="3"/>
      <c r="E42" s="3"/>
      <c r="G42" s="3"/>
      <c r="I42" s="3"/>
    </row>
    <row r="43" spans="1:9" ht="18.75" x14ac:dyDescent="0.45">
      <c r="A43" s="4"/>
      <c r="C43" s="3"/>
      <c r="E43" s="3"/>
      <c r="G43" s="3"/>
      <c r="I43" s="3"/>
    </row>
    <row r="44" spans="1:9" ht="18.75" x14ac:dyDescent="0.45">
      <c r="A44" s="4"/>
      <c r="C44" s="3"/>
      <c r="E44" s="3"/>
      <c r="G44" s="3"/>
      <c r="I44" s="3"/>
    </row>
    <row r="45" spans="1:9" ht="18.75" x14ac:dyDescent="0.45">
      <c r="A45" s="4"/>
      <c r="C45" s="3"/>
      <c r="E45" s="3"/>
      <c r="G45" s="3"/>
      <c r="I45" s="3"/>
    </row>
    <row r="46" spans="1:9" ht="18.75" x14ac:dyDescent="0.45">
      <c r="A46" s="4"/>
      <c r="C46" s="3"/>
      <c r="E46" s="3"/>
      <c r="G46" s="3"/>
      <c r="I46" s="3"/>
    </row>
    <row r="47" spans="1:9" ht="18.75" x14ac:dyDescent="0.45">
      <c r="A47" s="4"/>
      <c r="C47" s="3"/>
      <c r="E47" s="3"/>
      <c r="G47" s="3"/>
      <c r="I47" s="3"/>
    </row>
    <row r="48" spans="1:9" ht="18.75" x14ac:dyDescent="0.45">
      <c r="A48" s="4"/>
      <c r="C48" s="3"/>
      <c r="E48" s="3"/>
      <c r="G48" s="3"/>
      <c r="I48" s="3"/>
    </row>
    <row r="49" spans="1:9" ht="18.75" x14ac:dyDescent="0.45">
      <c r="A49" s="4"/>
      <c r="C49" s="3"/>
      <c r="E49" s="3"/>
      <c r="G49" s="3"/>
      <c r="I49" s="3"/>
    </row>
    <row r="50" spans="1:9" ht="18.75" x14ac:dyDescent="0.45">
      <c r="A50" s="4"/>
      <c r="C50" s="3"/>
      <c r="E50" s="3"/>
      <c r="G50" s="3"/>
      <c r="I50" s="3"/>
    </row>
    <row r="51" spans="1:9" ht="18.75" x14ac:dyDescent="0.45">
      <c r="A51" s="4"/>
      <c r="C51" s="3"/>
      <c r="E51" s="3"/>
      <c r="G51" s="3"/>
      <c r="I51" s="3"/>
    </row>
    <row r="52" spans="1:9" ht="18.75" x14ac:dyDescent="0.45">
      <c r="A52" s="4"/>
      <c r="C52" s="3"/>
      <c r="E52" s="3"/>
      <c r="G52" s="3"/>
      <c r="I52" s="3"/>
    </row>
    <row r="53" spans="1:9" ht="18.75" x14ac:dyDescent="0.45">
      <c r="A53" s="4"/>
      <c r="C53" s="3"/>
      <c r="E53" s="3"/>
      <c r="G53" s="3"/>
      <c r="I53" s="3"/>
    </row>
    <row r="54" spans="1:9" ht="18.75" x14ac:dyDescent="0.45">
      <c r="A54" s="4"/>
      <c r="C54" s="3"/>
      <c r="E54" s="3"/>
      <c r="G54" s="3"/>
      <c r="I54" s="3"/>
    </row>
    <row r="55" spans="1:9" ht="18.75" x14ac:dyDescent="0.45">
      <c r="A55" s="4"/>
      <c r="C55" s="3"/>
      <c r="E55" s="3"/>
      <c r="G55" s="3"/>
      <c r="I55" s="3"/>
    </row>
    <row r="56" spans="1:9" ht="18.75" x14ac:dyDescent="0.45">
      <c r="A56" s="4"/>
      <c r="C56" s="3"/>
      <c r="E56" s="3"/>
      <c r="G56" s="3"/>
      <c r="I56" s="3"/>
    </row>
    <row r="57" spans="1:9" ht="18.75" x14ac:dyDescent="0.45">
      <c r="A57" s="4"/>
      <c r="C57" s="3"/>
      <c r="E57" s="3"/>
      <c r="G57" s="3"/>
      <c r="I57" s="3"/>
    </row>
    <row r="58" spans="1:9" ht="18.75" x14ac:dyDescent="0.45">
      <c r="A58" s="4"/>
      <c r="C58" s="3"/>
      <c r="E58" s="3"/>
      <c r="G58" s="3"/>
      <c r="I58" s="3"/>
    </row>
    <row r="59" spans="1:9" ht="18.75" x14ac:dyDescent="0.45">
      <c r="A59" s="4"/>
      <c r="C59" s="3"/>
      <c r="E59" s="3"/>
      <c r="G59" s="3"/>
      <c r="I59" s="3"/>
    </row>
    <row r="60" spans="1:9" ht="18.75" x14ac:dyDescent="0.45">
      <c r="A60" s="4"/>
      <c r="C60" s="3"/>
      <c r="E60" s="3"/>
      <c r="G60" s="3"/>
      <c r="I60" s="3"/>
    </row>
    <row r="61" spans="1:9" ht="18.75" x14ac:dyDescent="0.45">
      <c r="A61" s="4"/>
      <c r="C61" s="3"/>
      <c r="E61" s="3"/>
      <c r="G61" s="3"/>
      <c r="I61" s="3"/>
    </row>
    <row r="62" spans="1:9" ht="18.75" x14ac:dyDescent="0.45">
      <c r="A62" s="4"/>
      <c r="C62" s="3"/>
      <c r="E62" s="3"/>
      <c r="G62" s="3"/>
      <c r="I62" s="3"/>
    </row>
    <row r="63" spans="1:9" ht="18.75" x14ac:dyDescent="0.45">
      <c r="A63" s="4"/>
      <c r="C63" s="3"/>
      <c r="E63" s="3"/>
      <c r="G63" s="3"/>
      <c r="I63" s="3"/>
    </row>
    <row r="64" spans="1:9" ht="18.75" x14ac:dyDescent="0.45">
      <c r="A64" s="4"/>
      <c r="C64" s="3"/>
      <c r="E64" s="3"/>
      <c r="G64" s="3"/>
      <c r="I64" s="3"/>
    </row>
    <row r="65" spans="1:9" ht="18.75" x14ac:dyDescent="0.45">
      <c r="A65" s="4"/>
      <c r="C65" s="3"/>
      <c r="E65" s="3"/>
      <c r="G65" s="3"/>
      <c r="I65" s="3"/>
    </row>
    <row r="66" spans="1:9" ht="18.75" x14ac:dyDescent="0.45">
      <c r="A66" s="4"/>
      <c r="C66" s="3"/>
      <c r="E66" s="3"/>
      <c r="G66" s="3"/>
      <c r="I66" s="3"/>
    </row>
    <row r="67" spans="1:9" ht="18.75" x14ac:dyDescent="0.45">
      <c r="A67" s="4"/>
      <c r="C67" s="3"/>
      <c r="E67" s="3"/>
      <c r="G67" s="3"/>
      <c r="I67" s="3"/>
    </row>
    <row r="68" spans="1:9" ht="18.75" x14ac:dyDescent="0.45">
      <c r="A68" s="4"/>
      <c r="C68" s="3"/>
      <c r="E68" s="3"/>
      <c r="G68" s="3"/>
      <c r="I68" s="3"/>
    </row>
    <row r="69" spans="1:9" ht="18.75" x14ac:dyDescent="0.45">
      <c r="A69" s="4"/>
      <c r="C69" s="3"/>
      <c r="E69" s="3"/>
      <c r="G69" s="3"/>
      <c r="I69" s="3"/>
    </row>
    <row r="70" spans="1:9" ht="18.75" x14ac:dyDescent="0.45">
      <c r="A70" s="4"/>
      <c r="C70" s="3"/>
      <c r="E70" s="3"/>
      <c r="G70" s="3"/>
      <c r="I70" s="3"/>
    </row>
    <row r="71" spans="1:9" ht="18.75" x14ac:dyDescent="0.45">
      <c r="A71" s="4"/>
      <c r="C71" s="3"/>
      <c r="E71" s="3"/>
      <c r="G71" s="3"/>
      <c r="I71" s="3"/>
    </row>
    <row r="72" spans="1:9" ht="18.75" x14ac:dyDescent="0.45">
      <c r="A72" s="4"/>
      <c r="C72" s="3"/>
      <c r="E72" s="3"/>
      <c r="G72" s="3"/>
      <c r="I72" s="3"/>
    </row>
    <row r="73" spans="1:9" ht="18.75" x14ac:dyDescent="0.45">
      <c r="A73" s="4"/>
      <c r="C73" s="3"/>
      <c r="E73" s="3"/>
      <c r="G73" s="3"/>
      <c r="I73" s="3"/>
    </row>
    <row r="74" spans="1:9" ht="18.75" x14ac:dyDescent="0.45">
      <c r="A74" s="4"/>
      <c r="C74" s="3"/>
      <c r="E74" s="3"/>
      <c r="G74" s="3"/>
      <c r="I74" s="3"/>
    </row>
    <row r="75" spans="1:9" ht="18.75" x14ac:dyDescent="0.45">
      <c r="A75" s="4"/>
      <c r="C75" s="3"/>
      <c r="E75" s="3"/>
      <c r="G75" s="3"/>
      <c r="I75" s="3"/>
    </row>
    <row r="76" spans="1:9" ht="18.75" x14ac:dyDescent="0.45">
      <c r="A76" s="4"/>
      <c r="C76" s="3"/>
      <c r="E76" s="3"/>
      <c r="G76" s="3"/>
      <c r="I76" s="3"/>
    </row>
    <row r="77" spans="1:9" ht="18.75" x14ac:dyDescent="0.45">
      <c r="A77" s="4"/>
      <c r="C77" s="3"/>
      <c r="E77" s="3"/>
      <c r="G77" s="3"/>
      <c r="I77" s="3"/>
    </row>
    <row r="78" spans="1:9" ht="18.75" x14ac:dyDescent="0.45">
      <c r="A78" s="4"/>
      <c r="C78" s="3"/>
      <c r="E78" s="3"/>
      <c r="G78" s="3"/>
      <c r="I78" s="3"/>
    </row>
    <row r="79" spans="1:9" ht="18.75" x14ac:dyDescent="0.45">
      <c r="A79" s="4"/>
      <c r="C79" s="3"/>
      <c r="E79" s="3"/>
      <c r="G79" s="3"/>
      <c r="I79" s="3"/>
    </row>
    <row r="80" spans="1:9" ht="18.75" x14ac:dyDescent="0.45">
      <c r="A80" s="4"/>
      <c r="C80" s="3"/>
      <c r="E80" s="3"/>
      <c r="G80" s="3"/>
      <c r="I80" s="3"/>
    </row>
    <row r="81" spans="1:9" ht="18.75" x14ac:dyDescent="0.45">
      <c r="A81" s="4"/>
      <c r="C81" s="3"/>
      <c r="E81" s="3"/>
      <c r="G81" s="3"/>
      <c r="I81" s="3"/>
    </row>
    <row r="82" spans="1:9" ht="18.75" x14ac:dyDescent="0.45">
      <c r="A82" s="4"/>
      <c r="C82" s="3"/>
      <c r="E82" s="3"/>
      <c r="G82" s="3"/>
      <c r="I82" s="3"/>
    </row>
    <row r="83" spans="1:9" ht="18.75" x14ac:dyDescent="0.45">
      <c r="A83" s="4"/>
      <c r="C83" s="3"/>
      <c r="E83" s="3"/>
      <c r="G83" s="3"/>
      <c r="I83" s="3"/>
    </row>
    <row r="84" spans="1:9" ht="18.75" x14ac:dyDescent="0.45">
      <c r="A84" s="4"/>
      <c r="C84" s="3"/>
      <c r="E84" s="3"/>
      <c r="G84" s="3"/>
      <c r="I84" s="3"/>
    </row>
    <row r="85" spans="1:9" ht="18.75" x14ac:dyDescent="0.45">
      <c r="A85" s="4"/>
    </row>
    <row r="86" spans="1:9" ht="18.75" x14ac:dyDescent="0.45">
      <c r="A86" s="4"/>
    </row>
    <row r="87" spans="1:9" ht="18.75" x14ac:dyDescent="0.45">
      <c r="A87" s="4"/>
    </row>
    <row r="88" spans="1:9" ht="18.75" x14ac:dyDescent="0.45">
      <c r="A88" s="4"/>
    </row>
    <row r="89" spans="1:9" ht="18.75" x14ac:dyDescent="0.45">
      <c r="A89" s="4"/>
    </row>
    <row r="90" spans="1:9" ht="18.75" x14ac:dyDescent="0.45">
      <c r="A90" s="4"/>
    </row>
    <row r="91" spans="1:9" ht="18.75" x14ac:dyDescent="0.45">
      <c r="A91" s="4"/>
    </row>
    <row r="92" spans="1:9" ht="18.75" x14ac:dyDescent="0.45">
      <c r="A92" s="4"/>
    </row>
    <row r="93" spans="1:9" ht="18.75" x14ac:dyDescent="0.45">
      <c r="A93" s="4"/>
    </row>
    <row r="94" spans="1:9" ht="18.75" x14ac:dyDescent="0.45">
      <c r="A94" s="4"/>
    </row>
    <row r="95" spans="1:9" ht="18.75" x14ac:dyDescent="0.45">
      <c r="A95" s="4"/>
    </row>
    <row r="96" spans="1:9" ht="18.75" x14ac:dyDescent="0.45">
      <c r="A96" s="4"/>
    </row>
    <row r="97" spans="1:1" ht="18.75" x14ac:dyDescent="0.45">
      <c r="A97" s="4"/>
    </row>
    <row r="98" spans="1:1" ht="18.75" x14ac:dyDescent="0.45">
      <c r="A98" s="4"/>
    </row>
    <row r="99" spans="1:1" ht="18.75" x14ac:dyDescent="0.45">
      <c r="A99" s="4"/>
    </row>
    <row r="100" spans="1:1" ht="18.75" x14ac:dyDescent="0.45">
      <c r="A100" s="4"/>
    </row>
    <row r="101" spans="1:1" ht="18.75" x14ac:dyDescent="0.45">
      <c r="A101" s="4"/>
    </row>
  </sheetData>
  <mergeCells count="6">
    <mergeCell ref="A1:U1"/>
    <mergeCell ref="A2:U2"/>
    <mergeCell ref="A3:U3"/>
    <mergeCell ref="A5:U5"/>
    <mergeCell ref="C7:K7"/>
    <mergeCell ref="M7:U7"/>
  </mergeCells>
  <printOptions horizontalCentered="1"/>
  <pageMargins left="0.31496062992125984" right="0.31496062992125984" top="0.47244094488188981" bottom="0.39370078740157483" header="0.31496062992125984" footer="0.31496062992125984"/>
  <pageSetup paperSize="9" scale="71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rightToLeft="1" view="pageBreakPreview" zoomScale="95" zoomScaleNormal="100" zoomScaleSheetLayoutView="95" workbookViewId="0">
      <selection activeCell="Q10" sqref="Q10:Q13"/>
    </sheetView>
  </sheetViews>
  <sheetFormatPr defaultColWidth="9.125" defaultRowHeight="18" x14ac:dyDescent="0.45"/>
  <cols>
    <col min="1" max="1" width="21.875" style="45" customWidth="1"/>
    <col min="2" max="2" width="1.375" style="45" customWidth="1"/>
    <col min="3" max="3" width="11.375" style="45" customWidth="1"/>
    <col min="4" max="4" width="1.375" style="45" customWidth="1"/>
    <col min="5" max="5" width="13.75" style="45" customWidth="1"/>
    <col min="6" max="6" width="1.375" style="45" customWidth="1"/>
    <col min="7" max="7" width="10" style="45" customWidth="1"/>
    <col min="8" max="8" width="1.375" style="45" customWidth="1"/>
    <col min="9" max="9" width="14.375" style="45" customWidth="1"/>
    <col min="10" max="10" width="1.375" style="45" customWidth="1"/>
    <col min="11" max="11" width="13.625" style="45" customWidth="1"/>
    <col min="12" max="12" width="1.375" style="45" customWidth="1"/>
    <col min="13" max="13" width="14.375" style="45" customWidth="1"/>
    <col min="14" max="14" width="1.375" style="45" customWidth="1"/>
    <col min="15" max="15" width="16.375" style="45" customWidth="1"/>
    <col min="16" max="16" width="1.375" style="45" customWidth="1"/>
    <col min="17" max="17" width="16.25" style="45" customWidth="1"/>
    <col min="18" max="18" width="1.375" style="45" customWidth="1"/>
    <col min="19" max="19" width="16.875" style="45" customWidth="1"/>
    <col min="20" max="20" width="1.5" style="45" customWidth="1"/>
    <col min="21" max="16384" width="9.125" style="45"/>
  </cols>
  <sheetData>
    <row r="1" spans="1:20" ht="30.75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</row>
    <row r="2" spans="1:20" ht="30.75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</row>
    <row r="3" spans="1:20" ht="30.75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</row>
    <row r="5" spans="1:20" s="56" customFormat="1" ht="24" x14ac:dyDescent="0.55000000000000004">
      <c r="A5" s="347" t="s">
        <v>81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</row>
    <row r="7" spans="1:20" ht="21" x14ac:dyDescent="0.45">
      <c r="C7" s="353" t="s">
        <v>23</v>
      </c>
      <c r="D7" s="354"/>
      <c r="E7" s="354"/>
      <c r="F7" s="354"/>
      <c r="G7" s="354"/>
      <c r="I7" s="353" t="str">
        <f>تیتر!A11</f>
        <v>طی مرداد ماه</v>
      </c>
      <c r="J7" s="354"/>
      <c r="K7" s="354"/>
      <c r="L7" s="354"/>
      <c r="M7" s="354"/>
      <c r="O7" s="353" t="str">
        <f>تیتر!B11</f>
        <v>از ابتدای سال مالی تا پایان مرداد ماه 1405</v>
      </c>
      <c r="P7" s="354"/>
      <c r="Q7" s="354"/>
      <c r="R7" s="354"/>
      <c r="S7" s="354"/>
    </row>
    <row r="8" spans="1:20" ht="51.75" customHeight="1" x14ac:dyDescent="0.45">
      <c r="A8" s="5" t="s">
        <v>11</v>
      </c>
      <c r="C8" s="52" t="s">
        <v>24</v>
      </c>
      <c r="E8" s="52" t="s">
        <v>25</v>
      </c>
      <c r="G8" s="52" t="s">
        <v>26</v>
      </c>
      <c r="I8" s="52" t="s">
        <v>27</v>
      </c>
      <c r="K8" s="52" t="s">
        <v>28</v>
      </c>
      <c r="M8" s="52" t="s">
        <v>29</v>
      </c>
      <c r="O8" s="52" t="s">
        <v>27</v>
      </c>
      <c r="Q8" s="52" t="s">
        <v>28</v>
      </c>
      <c r="S8" s="52" t="s">
        <v>29</v>
      </c>
    </row>
    <row r="9" spans="1:20" ht="21.75" customHeight="1" x14ac:dyDescent="0.45">
      <c r="A9" s="47"/>
      <c r="C9" s="57"/>
      <c r="E9" s="57"/>
      <c r="G9" s="4" t="s">
        <v>47</v>
      </c>
      <c r="I9" s="4" t="s">
        <v>47</v>
      </c>
      <c r="K9" s="4" t="s">
        <v>47</v>
      </c>
      <c r="M9" s="4" t="s">
        <v>47</v>
      </c>
      <c r="O9" s="4" t="s">
        <v>47</v>
      </c>
      <c r="Q9" s="219" t="s">
        <v>47</v>
      </c>
      <c r="S9" s="219" t="s">
        <v>47</v>
      </c>
      <c r="T9" s="45">
        <v>-1</v>
      </c>
    </row>
    <row r="10" spans="1:20" s="247" customFormat="1" ht="25.5" customHeight="1" x14ac:dyDescent="0.45">
      <c r="A10" s="179" t="s">
        <v>69</v>
      </c>
      <c r="C10" s="199" t="s">
        <v>119</v>
      </c>
      <c r="D10" s="254"/>
      <c r="E10" s="255">
        <v>62998564</v>
      </c>
      <c r="F10" s="254"/>
      <c r="G10" s="255">
        <v>90</v>
      </c>
      <c r="H10" s="254"/>
      <c r="I10" s="251">
        <v>0</v>
      </c>
      <c r="J10" s="254"/>
      <c r="K10" s="251">
        <v>0</v>
      </c>
      <c r="L10" s="254"/>
      <c r="M10" s="253">
        <f>I10+K10</f>
        <v>0</v>
      </c>
      <c r="N10" s="254"/>
      <c r="O10" s="253">
        <f>K10+M10</f>
        <v>0</v>
      </c>
      <c r="P10" s="254"/>
      <c r="Q10" s="253">
        <f>M10+O10</f>
        <v>0</v>
      </c>
      <c r="R10" s="254"/>
      <c r="S10" s="256">
        <f>O10+Q10</f>
        <v>0</v>
      </c>
    </row>
    <row r="11" spans="1:20" s="150" customFormat="1" ht="25.5" customHeight="1" x14ac:dyDescent="0.2">
      <c r="A11" s="179" t="s">
        <v>115</v>
      </c>
      <c r="C11" s="199" t="s">
        <v>114</v>
      </c>
      <c r="D11" s="257"/>
      <c r="E11" s="255">
        <v>3894288</v>
      </c>
      <c r="G11" s="255">
        <v>75</v>
      </c>
      <c r="H11" s="257"/>
      <c r="I11" s="251">
        <v>0</v>
      </c>
      <c r="J11" s="258"/>
      <c r="K11" s="251">
        <v>0</v>
      </c>
      <c r="L11" s="204"/>
      <c r="M11" s="253">
        <f t="shared" ref="M11:Q13" si="0">I11+K11</f>
        <v>0</v>
      </c>
      <c r="N11" s="204"/>
      <c r="O11" s="253">
        <f t="shared" si="0"/>
        <v>0</v>
      </c>
      <c r="P11" s="257"/>
      <c r="Q11" s="253">
        <f t="shared" si="0"/>
        <v>0</v>
      </c>
      <c r="R11" s="257"/>
      <c r="S11" s="256">
        <f>O11+Q11</f>
        <v>0</v>
      </c>
    </row>
    <row r="12" spans="1:20" s="150" customFormat="1" ht="25.5" customHeight="1" x14ac:dyDescent="0.2">
      <c r="A12" s="179" t="s">
        <v>106</v>
      </c>
      <c r="C12" s="199" t="s">
        <v>116</v>
      </c>
      <c r="D12" s="257"/>
      <c r="E12" s="255">
        <v>200000</v>
      </c>
      <c r="G12" s="255">
        <v>240</v>
      </c>
      <c r="H12" s="257"/>
      <c r="I12" s="251">
        <v>0</v>
      </c>
      <c r="J12" s="258"/>
      <c r="K12" s="251">
        <v>0</v>
      </c>
      <c r="L12" s="204"/>
      <c r="M12" s="253">
        <f t="shared" si="0"/>
        <v>0</v>
      </c>
      <c r="N12" s="204"/>
      <c r="O12" s="253">
        <f t="shared" si="0"/>
        <v>0</v>
      </c>
      <c r="P12" s="257"/>
      <c r="Q12" s="253">
        <f t="shared" si="0"/>
        <v>0</v>
      </c>
      <c r="R12" s="257"/>
      <c r="S12" s="256">
        <f>O12+Q12</f>
        <v>0</v>
      </c>
    </row>
    <row r="13" spans="1:20" s="150" customFormat="1" ht="25.5" customHeight="1" x14ac:dyDescent="0.2">
      <c r="A13" s="179" t="s">
        <v>63</v>
      </c>
      <c r="C13" s="199" t="s">
        <v>124</v>
      </c>
      <c r="D13" s="257"/>
      <c r="E13" s="255">
        <v>27895011</v>
      </c>
      <c r="G13" s="255">
        <v>323</v>
      </c>
      <c r="H13" s="257"/>
      <c r="I13" s="251">
        <v>0</v>
      </c>
      <c r="J13" s="258"/>
      <c r="K13" s="251">
        <v>0</v>
      </c>
      <c r="L13" s="204"/>
      <c r="M13" s="253">
        <f t="shared" si="0"/>
        <v>0</v>
      </c>
      <c r="N13" s="204"/>
      <c r="O13" s="253">
        <f t="shared" si="0"/>
        <v>0</v>
      </c>
      <c r="P13" s="257"/>
      <c r="Q13" s="253">
        <f t="shared" si="0"/>
        <v>0</v>
      </c>
      <c r="R13" s="257"/>
      <c r="S13" s="256">
        <f>O13+Q13</f>
        <v>0</v>
      </c>
    </row>
    <row r="14" spans="1:20" s="150" customFormat="1" ht="27" customHeight="1" thickBot="1" x14ac:dyDescent="0.25">
      <c r="A14" s="7"/>
      <c r="E14" s="3"/>
      <c r="F14" s="3"/>
      <c r="G14" s="3"/>
      <c r="H14" s="3"/>
      <c r="I14" s="93">
        <f>SUM(I10:I13)</f>
        <v>0</v>
      </c>
      <c r="J14" s="90"/>
      <c r="K14" s="93">
        <f>SUM(K10:K13)</f>
        <v>0</v>
      </c>
      <c r="L14" s="90"/>
      <c r="M14" s="93">
        <f>SUM(M10:M13)</f>
        <v>0</v>
      </c>
      <c r="N14" s="90"/>
      <c r="O14" s="93">
        <f>SUM(O10:O13)</f>
        <v>0</v>
      </c>
      <c r="P14" s="90"/>
      <c r="Q14" s="275">
        <f>SUM(Q10:Q13)</f>
        <v>0</v>
      </c>
      <c r="R14" s="90"/>
      <c r="S14" s="93">
        <f>SUM(S10:S13)</f>
        <v>0</v>
      </c>
    </row>
    <row r="15" spans="1:20" ht="24.75" customHeight="1" thickTop="1" x14ac:dyDescent="0.45"/>
    <row r="16" spans="1:20" ht="24.75" hidden="1" customHeight="1" x14ac:dyDescent="0.45">
      <c r="M16" s="171"/>
      <c r="O16" s="251">
        <f>'درآمد سرمایه گذاری در سهام '!M18</f>
        <v>0</v>
      </c>
    </row>
    <row r="17" spans="9:17" ht="24.75" hidden="1" customHeight="1" x14ac:dyDescent="0.45">
      <c r="M17" s="171"/>
      <c r="O17" s="92">
        <f>O14-O16</f>
        <v>0</v>
      </c>
    </row>
    <row r="18" spans="9:17" hidden="1" x14ac:dyDescent="0.45">
      <c r="I18" s="55"/>
      <c r="K18" s="55"/>
      <c r="O18" s="55"/>
      <c r="Q18" s="55"/>
    </row>
    <row r="19" spans="9:17" x14ac:dyDescent="0.45">
      <c r="I19" s="92"/>
      <c r="O19" s="92"/>
      <c r="Q19" s="92"/>
    </row>
  </sheetData>
  <mergeCells count="7">
    <mergeCell ref="A1:S1"/>
    <mergeCell ref="A2:S2"/>
    <mergeCell ref="A3:S3"/>
    <mergeCell ref="A5:S5"/>
    <mergeCell ref="C7:G7"/>
    <mergeCell ref="I7:M7"/>
    <mergeCell ref="O7:S7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7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3"/>
  <sheetViews>
    <sheetView rightToLeft="1" view="pageBreakPreview" topLeftCell="A4" zoomScaleNormal="100" zoomScaleSheetLayoutView="100" workbookViewId="0">
      <selection activeCell="G16" sqref="G16"/>
    </sheetView>
  </sheetViews>
  <sheetFormatPr defaultColWidth="9.125" defaultRowHeight="18" x14ac:dyDescent="0.45"/>
  <cols>
    <col min="1" max="1" width="33.625" style="45" bestFit="1" customWidth="1"/>
    <col min="2" max="2" width="0.75" style="45" customWidth="1"/>
    <col min="3" max="3" width="14.375" style="45" bestFit="1" customWidth="1"/>
    <col min="4" max="4" width="1.375" style="45" customWidth="1"/>
    <col min="5" max="5" width="14.125" style="45" customWidth="1"/>
    <col min="6" max="6" width="1" style="45" customWidth="1"/>
    <col min="7" max="7" width="14.25" style="45" customWidth="1"/>
    <col min="8" max="8" width="1" style="45" customWidth="1"/>
    <col min="9" max="9" width="16" style="45" customWidth="1"/>
    <col min="10" max="10" width="0.375" style="45" customWidth="1"/>
    <col min="11" max="11" width="10" style="45" bestFit="1" customWidth="1"/>
    <col min="12" max="12" width="1.375" style="45" customWidth="1"/>
    <col min="13" max="13" width="14.375" style="45" bestFit="1" customWidth="1"/>
    <col min="14" max="14" width="1.375" style="45" customWidth="1"/>
    <col min="15" max="15" width="14.75" style="45" customWidth="1"/>
    <col min="16" max="16" width="1" style="45" customWidth="1"/>
    <col min="17" max="17" width="16.375" style="45" bestFit="1" customWidth="1"/>
    <col min="18" max="18" width="1.25" style="45" customWidth="1"/>
    <col min="19" max="19" width="17.75" style="45" customWidth="1"/>
    <col min="20" max="20" width="1.125" style="45" customWidth="1"/>
    <col min="21" max="21" width="10" style="45" bestFit="1" customWidth="1"/>
    <col min="22" max="22" width="0.375" style="45" customWidth="1"/>
    <col min="23" max="16384" width="9.125" style="45"/>
  </cols>
  <sheetData>
    <row r="1" spans="1:21" ht="30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</row>
    <row r="2" spans="1:21" ht="30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</row>
    <row r="3" spans="1:21" ht="30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</row>
    <row r="4" spans="1:21" ht="26.25" customHeight="1" x14ac:dyDescent="0.45"/>
    <row r="5" spans="1:21" s="56" customFormat="1" ht="24" x14ac:dyDescent="0.55000000000000004">
      <c r="A5" s="347" t="s">
        <v>84</v>
      </c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</row>
    <row r="7" spans="1:21" ht="21" x14ac:dyDescent="0.45">
      <c r="C7" s="382" t="str">
        <f>تیتر!A11</f>
        <v>طی مرداد ماه</v>
      </c>
      <c r="D7" s="382"/>
      <c r="E7" s="382"/>
      <c r="F7" s="382"/>
      <c r="G7" s="382"/>
      <c r="H7" s="382"/>
      <c r="I7" s="382"/>
      <c r="J7" s="382"/>
      <c r="K7" s="382"/>
      <c r="M7" s="194"/>
      <c r="N7" s="194"/>
      <c r="O7" s="363" t="str">
        <f>تیتر!B11</f>
        <v>از ابتدای سال مالی تا پایان مرداد ماه 1405</v>
      </c>
      <c r="P7" s="363"/>
      <c r="Q7" s="363"/>
      <c r="R7" s="363"/>
      <c r="S7" s="363"/>
      <c r="T7" s="363"/>
      <c r="U7" s="363"/>
    </row>
    <row r="8" spans="1:21" s="131" customFormat="1" ht="54.75" customHeight="1" x14ac:dyDescent="0.45">
      <c r="A8" s="148" t="s">
        <v>60</v>
      </c>
      <c r="C8" s="195" t="s">
        <v>107</v>
      </c>
      <c r="E8" s="196" t="s">
        <v>108</v>
      </c>
      <c r="G8" s="196" t="s">
        <v>109</v>
      </c>
      <c r="I8" s="196" t="s">
        <v>10</v>
      </c>
      <c r="J8" s="143"/>
      <c r="K8" s="196" t="s">
        <v>34</v>
      </c>
      <c r="L8" s="45"/>
      <c r="M8" s="149" t="str">
        <f>C8</f>
        <v>درآمد سود صندوق
2-3-1</v>
      </c>
      <c r="O8" s="149" t="s">
        <v>108</v>
      </c>
      <c r="Q8" s="112" t="s">
        <v>109</v>
      </c>
      <c r="S8" s="112" t="s">
        <v>10</v>
      </c>
      <c r="U8" s="112" t="s">
        <v>34</v>
      </c>
    </row>
    <row r="9" spans="1:21" ht="23.25" customHeight="1" x14ac:dyDescent="0.45">
      <c r="A9" s="102"/>
      <c r="C9" s="218" t="s">
        <v>47</v>
      </c>
      <c r="E9" s="111" t="s">
        <v>47</v>
      </c>
      <c r="G9" s="111" t="s">
        <v>47</v>
      </c>
      <c r="I9" s="111" t="s">
        <v>47</v>
      </c>
      <c r="J9" s="111"/>
      <c r="K9" s="111"/>
      <c r="L9" s="111"/>
      <c r="M9" s="111" t="s">
        <v>47</v>
      </c>
      <c r="N9" s="111"/>
      <c r="O9" s="111" t="s">
        <v>47</v>
      </c>
      <c r="P9" s="111"/>
      <c r="Q9" s="218" t="s">
        <v>47</v>
      </c>
      <c r="R9" s="111"/>
      <c r="S9" s="218" t="s">
        <v>47</v>
      </c>
    </row>
    <row r="10" spans="1:21" s="316" customFormat="1" ht="23.25" customHeight="1" x14ac:dyDescent="0.45">
      <c r="A10" s="323" t="s">
        <v>149</v>
      </c>
      <c r="C10" s="322">
        <v>93000000</v>
      </c>
      <c r="E10" s="111">
        <v>0</v>
      </c>
      <c r="G10" s="252">
        <v>0</v>
      </c>
      <c r="I10" s="111"/>
      <c r="J10" s="111"/>
      <c r="K10" s="111"/>
      <c r="L10" s="111"/>
      <c r="M10" s="111">
        <v>93000000</v>
      </c>
      <c r="N10" s="111"/>
      <c r="O10" s="111">
        <v>0</v>
      </c>
      <c r="P10" s="111"/>
      <c r="Q10" s="322">
        <v>0</v>
      </c>
      <c r="R10" s="111"/>
      <c r="S10" s="145">
        <f t="shared" ref="S10:S15" si="0">M10+O10+Q10</f>
        <v>93000000</v>
      </c>
      <c r="U10" s="176">
        <f>S10/درآمدها!$J$15*100</f>
        <v>3.4687753875784683E-3</v>
      </c>
    </row>
    <row r="11" spans="1:21" s="131" customFormat="1" ht="30.75" customHeight="1" x14ac:dyDescent="0.45">
      <c r="A11" s="199" t="s">
        <v>112</v>
      </c>
      <c r="B11" s="232"/>
      <c r="C11" s="252">
        <v>0</v>
      </c>
      <c r="D11" s="171"/>
      <c r="E11" s="252">
        <v>-547807870</v>
      </c>
      <c r="F11" s="145"/>
      <c r="G11" s="252">
        <v>688169958</v>
      </c>
      <c r="H11" s="233"/>
      <c r="I11" s="145">
        <f>C11+E11+G11</f>
        <v>140362088</v>
      </c>
      <c r="J11" s="145"/>
      <c r="K11" s="176">
        <f>I11/درآمدها!$E$15*100</f>
        <v>5.2985598932170173E-3</v>
      </c>
      <c r="L11" s="145"/>
      <c r="M11" s="145">
        <v>0</v>
      </c>
      <c r="N11" s="145"/>
      <c r="O11" s="259">
        <v>0</v>
      </c>
      <c r="P11" s="145"/>
      <c r="Q11" s="145">
        <v>688169958</v>
      </c>
      <c r="R11" s="232">
        <v>680733781</v>
      </c>
      <c r="S11" s="145">
        <f t="shared" si="0"/>
        <v>688169958</v>
      </c>
      <c r="T11" s="233"/>
      <c r="U11" s="176">
        <f>S11/درآمدها!$J$15*100</f>
        <v>2.566781734173449E-2</v>
      </c>
    </row>
    <row r="12" spans="1:21" s="131" customFormat="1" ht="30.75" customHeight="1" x14ac:dyDescent="0.45">
      <c r="A12" s="199" t="s">
        <v>128</v>
      </c>
      <c r="B12" s="232"/>
      <c r="C12" s="252">
        <v>0</v>
      </c>
      <c r="D12" s="171"/>
      <c r="E12" s="252">
        <v>-199437903</v>
      </c>
      <c r="F12" s="145"/>
      <c r="G12" s="252">
        <v>207604115</v>
      </c>
      <c r="H12" s="233"/>
      <c r="I12" s="145">
        <f>C12+E12+G12</f>
        <v>8166212</v>
      </c>
      <c r="J12" s="145"/>
      <c r="K12" s="176">
        <f>I12/درآمدها!$E$15*100</f>
        <v>3.082681655655302E-4</v>
      </c>
      <c r="L12" s="145"/>
      <c r="M12" s="145">
        <v>0</v>
      </c>
      <c r="N12" s="145"/>
      <c r="O12" s="259">
        <v>0</v>
      </c>
      <c r="P12" s="145"/>
      <c r="Q12" s="145">
        <v>6725111074</v>
      </c>
      <c r="R12" s="232">
        <v>6593609686</v>
      </c>
      <c r="S12" s="145">
        <f t="shared" si="0"/>
        <v>6725111074</v>
      </c>
      <c r="T12" s="233"/>
      <c r="U12" s="176">
        <f>S12/درآمدها!$J$15*100</f>
        <v>0.25083763195938275</v>
      </c>
    </row>
    <row r="13" spans="1:21" s="131" customFormat="1" ht="30.75" customHeight="1" x14ac:dyDescent="0.45">
      <c r="A13" s="199" t="s">
        <v>148</v>
      </c>
      <c r="B13" s="232"/>
      <c r="C13" s="252">
        <v>0</v>
      </c>
      <c r="D13" s="171"/>
      <c r="E13" s="252">
        <v>19248984972</v>
      </c>
      <c r="F13" s="145"/>
      <c r="G13" s="252">
        <v>3833724298</v>
      </c>
      <c r="H13" s="233"/>
      <c r="I13" s="145">
        <f>C13+E13+G13</f>
        <v>23082709270</v>
      </c>
      <c r="J13" s="145"/>
      <c r="K13" s="176">
        <f>I13/درآمدها!$E$15*100</f>
        <v>0.87135436147694423</v>
      </c>
      <c r="L13" s="145"/>
      <c r="M13" s="145">
        <v>0</v>
      </c>
      <c r="N13" s="145"/>
      <c r="O13" s="259">
        <v>18702940027</v>
      </c>
      <c r="P13" s="145"/>
      <c r="Q13" s="145">
        <v>3833724298</v>
      </c>
      <c r="R13" s="232">
        <v>3752163776</v>
      </c>
      <c r="S13" s="145">
        <f t="shared" si="0"/>
        <v>22536664325</v>
      </c>
      <c r="T13" s="233"/>
      <c r="U13" s="176">
        <f>S13/درآمدها!$J$15*100</f>
        <v>0.84058738202879257</v>
      </c>
    </row>
    <row r="14" spans="1:21" s="131" customFormat="1" ht="30.75" customHeight="1" x14ac:dyDescent="0.45">
      <c r="A14" s="160" t="s">
        <v>101</v>
      </c>
      <c r="B14" s="232"/>
      <c r="C14" s="252">
        <v>0</v>
      </c>
      <c r="D14" s="171"/>
      <c r="E14" s="252">
        <v>5149288438</v>
      </c>
      <c r="F14" s="145"/>
      <c r="G14" s="252">
        <v>439281368</v>
      </c>
      <c r="H14" s="233"/>
      <c r="I14" s="145">
        <f>C14+E14+G14</f>
        <v>5588569806</v>
      </c>
      <c r="J14" s="145"/>
      <c r="K14" s="176">
        <f>I14/درآمدها!$E$15*100</f>
        <v>0.21096417313566329</v>
      </c>
      <c r="L14" s="145"/>
      <c r="M14" s="145">
        <v>0</v>
      </c>
      <c r="N14" s="145"/>
      <c r="O14" s="259">
        <v>8819378399</v>
      </c>
      <c r="P14" s="145"/>
      <c r="Q14" s="145">
        <v>23432517478</v>
      </c>
      <c r="R14" s="232">
        <v>23149152209</v>
      </c>
      <c r="S14" s="145">
        <f t="shared" si="0"/>
        <v>32251895877</v>
      </c>
      <c r="T14" s="233"/>
      <c r="U14" s="176">
        <f>S14/درآمدها!$J$15*100</f>
        <v>1.2029525012997966</v>
      </c>
    </row>
    <row r="15" spans="1:21" s="131" customFormat="1" ht="30.75" customHeight="1" x14ac:dyDescent="0.45">
      <c r="A15" s="160" t="s">
        <v>117</v>
      </c>
      <c r="B15" s="232"/>
      <c r="C15" s="252">
        <v>404780544</v>
      </c>
      <c r="D15" s="171"/>
      <c r="E15" s="252">
        <v>0</v>
      </c>
      <c r="F15" s="145"/>
      <c r="G15" s="252">
        <v>0</v>
      </c>
      <c r="H15" s="233"/>
      <c r="I15" s="145">
        <f>C15+E15+G15</f>
        <v>404780544</v>
      </c>
      <c r="J15" s="145"/>
      <c r="K15" s="176">
        <f>I15/درآمدها!$E$15*100</f>
        <v>1.5280151403796204E-2</v>
      </c>
      <c r="L15" s="145"/>
      <c r="M15" s="145">
        <v>404780544</v>
      </c>
      <c r="N15" s="145"/>
      <c r="O15" s="259">
        <v>0</v>
      </c>
      <c r="P15" s="145"/>
      <c r="Q15" s="145">
        <v>346315940</v>
      </c>
      <c r="R15" s="232">
        <v>342062199</v>
      </c>
      <c r="S15" s="145">
        <f t="shared" si="0"/>
        <v>751096484</v>
      </c>
      <c r="T15" s="233"/>
      <c r="U15" s="176">
        <f>S15/درآمدها!$J$15*100</f>
        <v>2.8014892445117467E-2</v>
      </c>
    </row>
    <row r="16" spans="1:21" s="131" customFormat="1" ht="31.5" customHeight="1" thickBot="1" x14ac:dyDescent="0.5">
      <c r="C16" s="146">
        <f>SUM(C10:C15)</f>
        <v>497780544</v>
      </c>
      <c r="E16" s="146">
        <f>SUM(E10:E15)</f>
        <v>23651027637</v>
      </c>
      <c r="F16" s="144"/>
      <c r="G16" s="146">
        <f>SUM(G10:G15)</f>
        <v>5168779739</v>
      </c>
      <c r="H16" s="144"/>
      <c r="I16" s="146">
        <f>SUM(I11:I15)</f>
        <v>29224587920</v>
      </c>
      <c r="J16" s="147"/>
      <c r="K16" s="177">
        <f>SUM(K11:K15)</f>
        <v>1.1032055140751862</v>
      </c>
      <c r="L16" s="144"/>
      <c r="M16" s="146">
        <f>SUM(M10:M15)</f>
        <v>497780544</v>
      </c>
      <c r="N16" s="144"/>
      <c r="O16" s="146">
        <f>SUM(O10:O15)</f>
        <v>27522318426</v>
      </c>
      <c r="P16" s="144"/>
      <c r="Q16" s="146">
        <f>SUM(Q10:Q15)</f>
        <v>35025838748</v>
      </c>
      <c r="R16" s="146"/>
      <c r="S16" s="146">
        <f>SUM(S10:S15)</f>
        <v>63045937718</v>
      </c>
      <c r="T16" s="144"/>
      <c r="U16" s="177">
        <f>SUM(U10:U15)</f>
        <v>2.3515290004624023</v>
      </c>
    </row>
    <row r="17" spans="3:21" ht="18.75" thickTop="1" x14ac:dyDescent="0.45"/>
    <row r="18" spans="3:21" ht="39.75" hidden="1" customHeight="1" x14ac:dyDescent="0.45">
      <c r="C18" s="236">
        <v>88807680</v>
      </c>
      <c r="E18" s="236">
        <v>44653966488</v>
      </c>
      <c r="G18" s="236">
        <v>13266040322</v>
      </c>
      <c r="Q18" s="147"/>
    </row>
    <row r="19" spans="3:21" ht="24" hidden="1" customHeight="1" x14ac:dyDescent="0.45">
      <c r="C19" s="99">
        <f>C16-C18</f>
        <v>408972864</v>
      </c>
      <c r="E19" s="145">
        <f>E16-E18</f>
        <v>-21002938851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</row>
    <row r="20" spans="3:21" ht="24" hidden="1" customHeight="1" x14ac:dyDescent="0.45">
      <c r="C20" s="55"/>
      <c r="E20" s="145">
        <v>46730282054</v>
      </c>
      <c r="F20" s="145"/>
      <c r="G20" s="145"/>
      <c r="H20" s="145"/>
      <c r="I20" s="145"/>
      <c r="J20" s="145"/>
      <c r="K20" s="145"/>
      <c r="L20" s="145"/>
      <c r="M20" s="145">
        <v>8995035123</v>
      </c>
      <c r="N20" s="145"/>
      <c r="O20" s="145">
        <v>380633343785</v>
      </c>
      <c r="P20" s="145"/>
      <c r="Q20" s="145"/>
      <c r="R20" s="145"/>
      <c r="S20" s="145"/>
      <c r="T20" s="145"/>
      <c r="U20" s="145"/>
    </row>
    <row r="21" spans="3:21" hidden="1" x14ac:dyDescent="0.45">
      <c r="C21" s="99"/>
      <c r="E21" s="99">
        <f>E16-E20</f>
        <v>-23079254417</v>
      </c>
      <c r="G21" s="55"/>
      <c r="I21" s="55"/>
      <c r="M21" s="99">
        <f>M16-M20</f>
        <v>-8497254579</v>
      </c>
      <c r="O21" s="99">
        <f>O16-O20</f>
        <v>-353111025359</v>
      </c>
      <c r="Q21" s="99"/>
    </row>
    <row r="22" spans="3:21" hidden="1" x14ac:dyDescent="0.45">
      <c r="I22" s="99"/>
    </row>
    <row r="23" spans="3:21" x14ac:dyDescent="0.45">
      <c r="C23" s="55">
        <v>93000000</v>
      </c>
    </row>
  </sheetData>
  <mergeCells count="6">
    <mergeCell ref="A1:S1"/>
    <mergeCell ref="A2:S2"/>
    <mergeCell ref="A3:S3"/>
    <mergeCell ref="A5:S5"/>
    <mergeCell ref="O7:U7"/>
    <mergeCell ref="C7:K7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6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10"/>
  <sheetViews>
    <sheetView rightToLeft="1" view="pageBreakPreview" zoomScaleNormal="100" zoomScaleSheetLayoutView="100" workbookViewId="0">
      <selection activeCell="I10" sqref="I10"/>
    </sheetView>
  </sheetViews>
  <sheetFormatPr defaultRowHeight="12.75" x14ac:dyDescent="0.2"/>
  <cols>
    <col min="1" max="1" width="34.125" style="286" customWidth="1"/>
    <col min="2" max="2" width="1.125" style="286" customWidth="1"/>
    <col min="3" max="3" width="14.75" style="286" customWidth="1"/>
    <col min="4" max="4" width="1.125" style="286" customWidth="1"/>
    <col min="5" max="5" width="18.125" style="286" customWidth="1"/>
    <col min="6" max="6" width="1.125" style="286" customWidth="1"/>
    <col min="7" max="7" width="13.625" style="286" customWidth="1"/>
    <col min="8" max="8" width="1.125" style="286" customWidth="1"/>
    <col min="9" max="9" width="21.625" style="286" customWidth="1"/>
    <col min="10" max="10" width="1.125" style="286" customWidth="1"/>
    <col min="11" max="11" width="21" style="286" customWidth="1"/>
    <col min="12" max="12" width="0.25" style="286" customWidth="1"/>
    <col min="13" max="13" width="9.625" style="286" bestFit="1" customWidth="1"/>
    <col min="14" max="16384" width="9" style="286"/>
  </cols>
  <sheetData>
    <row r="1" spans="1:11" ht="29.1" customHeight="1" x14ac:dyDescent="0.2">
      <c r="A1" s="384" t="s">
        <v>61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</row>
    <row r="2" spans="1:11" ht="21.75" customHeight="1" x14ac:dyDescent="0.2">
      <c r="A2" s="384" t="s">
        <v>135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</row>
    <row r="3" spans="1:11" ht="21.75" customHeight="1" x14ac:dyDescent="0.2">
      <c r="A3" s="384" t="s">
        <v>133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</row>
    <row r="4" spans="1:11" ht="14.45" customHeight="1" x14ac:dyDescent="0.2"/>
    <row r="5" spans="1:11" ht="27.75" customHeight="1" x14ac:dyDescent="0.2">
      <c r="A5" s="385" t="s">
        <v>143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</row>
    <row r="6" spans="1:11" ht="40.5" customHeight="1" x14ac:dyDescent="0.2">
      <c r="C6" s="386"/>
      <c r="D6" s="386"/>
      <c r="E6" s="386"/>
      <c r="F6" s="386"/>
      <c r="G6" s="386"/>
      <c r="I6" s="292" t="str">
        <f>تیتر!A11</f>
        <v>طی مرداد ماه</v>
      </c>
      <c r="K6" s="288" t="str">
        <f>تیتر!B11</f>
        <v>از ابتدای سال مالی تا پایان مرداد ماه 1405</v>
      </c>
    </row>
    <row r="7" spans="1:11" ht="51" customHeight="1" x14ac:dyDescent="0.2">
      <c r="A7" s="287" t="s">
        <v>136</v>
      </c>
      <c r="C7" s="288" t="s">
        <v>137</v>
      </c>
      <c r="E7" s="288" t="s">
        <v>138</v>
      </c>
      <c r="G7" s="288" t="s">
        <v>139</v>
      </c>
      <c r="I7" s="289" t="s">
        <v>140</v>
      </c>
      <c r="K7" s="289" t="s">
        <v>140</v>
      </c>
    </row>
    <row r="8" spans="1:11" s="291" customFormat="1" ht="33.75" customHeight="1" x14ac:dyDescent="0.2">
      <c r="A8" s="290" t="s">
        <v>141</v>
      </c>
      <c r="C8" s="293" t="s">
        <v>142</v>
      </c>
      <c r="D8" s="294"/>
      <c r="E8" s="295">
        <v>4548096</v>
      </c>
      <c r="F8" s="294"/>
      <c r="G8" s="295">
        <v>1283</v>
      </c>
      <c r="H8" s="294"/>
      <c r="I8" s="295">
        <v>0</v>
      </c>
      <c r="J8" s="294"/>
      <c r="K8" s="295">
        <v>0</v>
      </c>
    </row>
    <row r="9" spans="1:11" ht="21.75" customHeight="1" thickBot="1" x14ac:dyDescent="0.25">
      <c r="A9" s="383" t="s">
        <v>144</v>
      </c>
      <c r="B9" s="383"/>
      <c r="C9" s="383"/>
      <c r="D9" s="383"/>
      <c r="E9" s="383"/>
      <c r="F9" s="383"/>
      <c r="G9" s="383"/>
      <c r="I9" s="296">
        <v>0</v>
      </c>
      <c r="J9" s="294"/>
      <c r="K9" s="296">
        <v>0</v>
      </c>
    </row>
    <row r="10" spans="1:11" ht="13.5" thickTop="1" x14ac:dyDescent="0.2"/>
  </sheetData>
  <mergeCells count="6">
    <mergeCell ref="A9:G9"/>
    <mergeCell ref="A1:K1"/>
    <mergeCell ref="A2:K2"/>
    <mergeCell ref="A3:K3"/>
    <mergeCell ref="A5:K5"/>
    <mergeCell ref="C6:G6"/>
  </mergeCells>
  <pageMargins left="0.39370078740157483" right="0.39370078740157483" top="0.39370078740157483" bottom="0.39370078740157483" header="0" footer="0"/>
  <pageSetup paperSize="9" scale="9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6"/>
  <sheetViews>
    <sheetView rightToLeft="1" view="pageBreakPreview" topLeftCell="A4" zoomScale="115" zoomScaleNormal="100" zoomScaleSheetLayoutView="115" workbookViewId="0">
      <selection activeCell="I14" sqref="I14"/>
    </sheetView>
  </sheetViews>
  <sheetFormatPr defaultColWidth="9.125" defaultRowHeight="18" x14ac:dyDescent="0.45"/>
  <cols>
    <col min="1" max="1" width="16.25" style="45" customWidth="1"/>
    <col min="2" max="2" width="1.375" style="45" customWidth="1"/>
    <col min="3" max="3" width="18.25" style="45" customWidth="1"/>
    <col min="4" max="4" width="1.375" style="45" customWidth="1"/>
    <col min="5" max="5" width="14.25" style="45" customWidth="1"/>
    <col min="6" max="6" width="1.375" style="45" customWidth="1"/>
    <col min="7" max="7" width="17.625" style="45" customWidth="1"/>
    <col min="8" max="8" width="1.375" style="45" customWidth="1"/>
    <col min="9" max="9" width="14.25" style="45" customWidth="1"/>
    <col min="10" max="10" width="26.375" style="45" customWidth="1"/>
    <col min="11" max="11" width="10.75" style="45" bestFit="1" customWidth="1"/>
    <col min="12" max="16384" width="9.125" style="45"/>
  </cols>
  <sheetData>
    <row r="1" spans="1:10" ht="31.5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</row>
    <row r="2" spans="1:10" ht="31.5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</row>
    <row r="3" spans="1:10" ht="31.5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</row>
    <row r="4" spans="1:10" ht="45" customHeight="1" x14ac:dyDescent="0.45"/>
    <row r="5" spans="1:10" s="56" customFormat="1" ht="33" customHeight="1" x14ac:dyDescent="0.6">
      <c r="A5" s="373" t="s">
        <v>85</v>
      </c>
      <c r="B5" s="374"/>
      <c r="C5" s="374"/>
      <c r="D5" s="374"/>
      <c r="E5" s="374"/>
      <c r="F5" s="374"/>
      <c r="G5" s="374"/>
      <c r="H5" s="374"/>
      <c r="I5" s="374"/>
    </row>
    <row r="6" spans="1:10" ht="26.25" customHeight="1" x14ac:dyDescent="0.45"/>
    <row r="7" spans="1:10" ht="26.25" customHeight="1" x14ac:dyDescent="0.45">
      <c r="A7" s="353"/>
      <c r="B7" s="354"/>
      <c r="C7" s="353" t="str">
        <f>تیتر!A11</f>
        <v>طی مرداد ماه</v>
      </c>
      <c r="D7" s="354"/>
      <c r="E7" s="354"/>
      <c r="G7" s="353" t="str">
        <f>تیتر!B11</f>
        <v>از ابتدای سال مالی تا پایان مرداد ماه 1405</v>
      </c>
      <c r="H7" s="354"/>
      <c r="I7" s="354"/>
    </row>
    <row r="8" spans="1:10" ht="64.5" customHeight="1" x14ac:dyDescent="0.45">
      <c r="A8" s="52" t="s">
        <v>35</v>
      </c>
      <c r="C8" s="115" t="s">
        <v>86</v>
      </c>
      <c r="E8" s="52" t="s">
        <v>36</v>
      </c>
      <c r="G8" s="52" t="str">
        <f>+C8</f>
        <v>‫سود سپرده بانکی و گواهی سپرده
2-4-1</v>
      </c>
      <c r="I8" s="52" t="s">
        <v>36</v>
      </c>
    </row>
    <row r="9" spans="1:10" ht="19.5" customHeight="1" x14ac:dyDescent="0.45">
      <c r="A9" s="57"/>
      <c r="C9" s="65" t="s">
        <v>47</v>
      </c>
      <c r="E9" s="57"/>
      <c r="G9" s="65" t="s">
        <v>47</v>
      </c>
      <c r="I9" s="57"/>
    </row>
    <row r="10" spans="1:10" s="268" customFormat="1" ht="25.5" customHeight="1" x14ac:dyDescent="0.45">
      <c r="A10" s="269" t="s">
        <v>130</v>
      </c>
      <c r="C10" s="65">
        <v>1127396964</v>
      </c>
      <c r="E10" s="274">
        <f>C10/$C$13*100</f>
        <v>99.637017849060911</v>
      </c>
      <c r="G10" s="65">
        <v>5478860965</v>
      </c>
      <c r="I10" s="274">
        <f>G10/$G$13*100</f>
        <v>99.881226012509941</v>
      </c>
    </row>
    <row r="11" spans="1:10" s="268" customFormat="1" ht="25.5" customHeight="1" x14ac:dyDescent="0.45">
      <c r="A11" s="269" t="s">
        <v>129</v>
      </c>
      <c r="C11" s="65">
        <v>16616</v>
      </c>
      <c r="E11" s="274">
        <f>C11/$C$13*100</f>
        <v>1.4684878010546036E-3</v>
      </c>
      <c r="G11" s="65">
        <v>1086381</v>
      </c>
      <c r="I11" s="274">
        <f>G11/$G$13*100</f>
        <v>1.9805041027664873E-2</v>
      </c>
      <c r="J11" s="268">
        <v>0</v>
      </c>
    </row>
    <row r="12" spans="1:10" ht="25.5" customHeight="1" x14ac:dyDescent="0.45">
      <c r="A12" s="101" t="s">
        <v>131</v>
      </c>
      <c r="C12" s="143">
        <v>4090542</v>
      </c>
      <c r="D12" s="131"/>
      <c r="E12" s="274">
        <f>C12/$C$13*100</f>
        <v>0.36151366313802963</v>
      </c>
      <c r="F12" s="131"/>
      <c r="G12" s="143">
        <v>5428819</v>
      </c>
      <c r="H12" s="131"/>
      <c r="I12" s="274">
        <f>G12/$G$13*100</f>
        <v>9.8968946462398164E-2</v>
      </c>
    </row>
    <row r="13" spans="1:10" ht="19.5" thickBot="1" x14ac:dyDescent="0.5">
      <c r="A13" s="3"/>
      <c r="C13" s="58">
        <f>SUM(C10:C12)</f>
        <v>1131504122</v>
      </c>
      <c r="E13" s="60">
        <f>SUM(E10:E12)</f>
        <v>99.999999999999986</v>
      </c>
      <c r="G13" s="58">
        <f>SUM(G10:G12)</f>
        <v>5485376165</v>
      </c>
      <c r="I13" s="60">
        <f>SUM(I10:I12)</f>
        <v>100</v>
      </c>
    </row>
    <row r="14" spans="1:10" ht="19.5" thickTop="1" x14ac:dyDescent="0.45">
      <c r="C14" s="49"/>
      <c r="E14" s="49"/>
      <c r="G14" s="49"/>
      <c r="I14" s="49"/>
    </row>
    <row r="15" spans="1:10" hidden="1" x14ac:dyDescent="0.45">
      <c r="C15" s="55">
        <v>1541525069</v>
      </c>
      <c r="G15" s="55">
        <v>12035684364</v>
      </c>
    </row>
    <row r="16" spans="1:10" hidden="1" x14ac:dyDescent="0.45">
      <c r="C16" s="59">
        <f>C13-C15</f>
        <v>-410020947</v>
      </c>
      <c r="G16" s="59">
        <f>G13-G15</f>
        <v>-6550308199</v>
      </c>
    </row>
  </sheetData>
  <mergeCells count="7">
    <mergeCell ref="A1:I1"/>
    <mergeCell ref="A2:I2"/>
    <mergeCell ref="A3:I3"/>
    <mergeCell ref="A5:I5"/>
    <mergeCell ref="A7:B7"/>
    <mergeCell ref="C7:E7"/>
    <mergeCell ref="G7:I7"/>
  </mergeCells>
  <printOptions horizontalCentered="1"/>
  <pageMargins left="0.51181102362204722" right="0.51181102362204722" top="0.74803149606299213" bottom="0.55118110236220474" header="0.31496062992125984" footer="0.31496062992125984"/>
  <pageSetup paperSize="9" scale="9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rightToLeft="1" view="pageBreakPreview" topLeftCell="A4" zoomScaleNormal="100" zoomScaleSheetLayoutView="100" workbookViewId="0">
      <selection activeCell="C10" sqref="C10"/>
    </sheetView>
  </sheetViews>
  <sheetFormatPr defaultColWidth="9.125" defaultRowHeight="18" x14ac:dyDescent="0.45"/>
  <cols>
    <col min="1" max="1" width="23.125" style="74" customWidth="1"/>
    <col min="2" max="2" width="1.375" style="74" customWidth="1"/>
    <col min="3" max="3" width="24" style="74" customWidth="1"/>
    <col min="4" max="4" width="1" style="74" customWidth="1"/>
    <col min="5" max="5" width="23.875" style="74" customWidth="1"/>
    <col min="6" max="6" width="1.25" style="74" customWidth="1"/>
    <col min="7" max="7" width="9.125" style="74"/>
    <col min="8" max="8" width="9.375" style="74" bestFit="1" customWidth="1"/>
    <col min="9" max="16384" width="9.125" style="74"/>
  </cols>
  <sheetData>
    <row r="1" spans="1:8" ht="24" customHeight="1" x14ac:dyDescent="0.45">
      <c r="A1" s="387" t="str">
        <f>تیتر!B7</f>
        <v>صندوق سرمایه گذاری املاک و مستغلات خانه آگاه</v>
      </c>
      <c r="B1" s="387"/>
      <c r="C1" s="387"/>
      <c r="D1" s="387"/>
      <c r="E1" s="387"/>
    </row>
    <row r="2" spans="1:8" ht="24" customHeight="1" x14ac:dyDescent="0.45">
      <c r="A2" s="387" t="str">
        <f>تیتر!B8</f>
        <v xml:space="preserve">صورت وضعیت درآمدها </v>
      </c>
      <c r="B2" s="387"/>
      <c r="C2" s="387"/>
      <c r="D2" s="387"/>
      <c r="E2" s="387"/>
    </row>
    <row r="3" spans="1:8" ht="24" customHeight="1" x14ac:dyDescent="0.45">
      <c r="A3" s="387" t="str">
        <f>تیتر!B9</f>
        <v>برای ماه منتهی به 1405/05/31</v>
      </c>
      <c r="B3" s="387"/>
      <c r="C3" s="387"/>
      <c r="D3" s="387"/>
      <c r="E3" s="387"/>
    </row>
    <row r="4" spans="1:8" ht="31.5" customHeight="1" x14ac:dyDescent="0.45">
      <c r="A4" s="178"/>
      <c r="B4" s="178"/>
      <c r="C4" s="178"/>
      <c r="D4" s="178"/>
      <c r="E4" s="178"/>
    </row>
    <row r="5" spans="1:8" ht="46.5" customHeight="1" x14ac:dyDescent="0.45"/>
    <row r="6" spans="1:8" s="75" customFormat="1" ht="24" x14ac:dyDescent="0.55000000000000004">
      <c r="A6" s="388" t="s">
        <v>88</v>
      </c>
      <c r="B6" s="389"/>
      <c r="C6" s="389"/>
      <c r="D6" s="389"/>
      <c r="E6" s="389"/>
    </row>
    <row r="7" spans="1:8" ht="39" customHeight="1" x14ac:dyDescent="0.45"/>
    <row r="8" spans="1:8" ht="40.5" customHeight="1" thickBot="1" x14ac:dyDescent="0.5">
      <c r="C8" s="76" t="str">
        <f>تیتر!A11</f>
        <v>طی مرداد ماه</v>
      </c>
      <c r="E8" s="77" t="str">
        <f>تیتر!B11</f>
        <v>از ابتدای سال مالی تا پایان مرداد ماه 1405</v>
      </c>
    </row>
    <row r="9" spans="1:8" ht="20.25" customHeight="1" x14ac:dyDescent="0.45">
      <c r="C9" s="78" t="s">
        <v>47</v>
      </c>
      <c r="E9" s="78" t="s">
        <v>47</v>
      </c>
    </row>
    <row r="10" spans="1:8" s="79" customFormat="1" ht="29.25" customHeight="1" x14ac:dyDescent="0.2">
      <c r="A10" s="103" t="s">
        <v>91</v>
      </c>
      <c r="C10" s="117">
        <v>181411179</v>
      </c>
      <c r="D10" s="80"/>
      <c r="E10" s="80">
        <v>361351349</v>
      </c>
      <c r="F10" s="81"/>
      <c r="H10" s="81"/>
    </row>
    <row r="11" spans="1:8" s="79" customFormat="1" ht="29.25" customHeight="1" x14ac:dyDescent="0.2">
      <c r="A11" s="79" t="s">
        <v>64</v>
      </c>
      <c r="C11" s="117">
        <v>-327635713</v>
      </c>
      <c r="D11" s="117"/>
      <c r="E11" s="117">
        <v>135127462</v>
      </c>
      <c r="F11" s="118"/>
      <c r="H11" s="81"/>
    </row>
    <row r="12" spans="1:8" ht="30" customHeight="1" thickBot="1" x14ac:dyDescent="0.5">
      <c r="C12" s="119">
        <f>SUM(C10:C11)</f>
        <v>-146224534</v>
      </c>
      <c r="D12" s="120"/>
      <c r="E12" s="119">
        <f>SUM(E10:E11)</f>
        <v>496478811</v>
      </c>
      <c r="F12" s="120"/>
      <c r="H12" s="82"/>
    </row>
    <row r="13" spans="1:8" ht="19.5" thickTop="1" x14ac:dyDescent="0.45">
      <c r="C13" s="121"/>
      <c r="D13" s="120"/>
      <c r="E13" s="121"/>
      <c r="F13" s="120"/>
      <c r="H13" s="82"/>
    </row>
    <row r="14" spans="1:8" ht="23.25" customHeight="1" x14ac:dyDescent="0.45">
      <c r="C14" s="82"/>
    </row>
  </sheetData>
  <mergeCells count="4">
    <mergeCell ref="A1:E1"/>
    <mergeCell ref="A2:E2"/>
    <mergeCell ref="A3:E3"/>
    <mergeCell ref="A6:E6"/>
  </mergeCells>
  <printOptions horizontalCentered="1"/>
  <pageMargins left="0.70866141732283472" right="0.70866141732283472" top="0.74803149606299213" bottom="0.55118110236220474" header="0.31496062992125984" footer="0.31496062992125984"/>
  <pageSetup paperSize="9" scale="95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34"/>
  <sheetViews>
    <sheetView rightToLeft="1" view="pageBreakPreview" topLeftCell="A4" zoomScaleNormal="100" zoomScaleSheetLayoutView="100" workbookViewId="0">
      <selection activeCell="I29" sqref="I29"/>
    </sheetView>
  </sheetViews>
  <sheetFormatPr defaultColWidth="9" defaultRowHeight="18" x14ac:dyDescent="0.45"/>
  <cols>
    <col min="1" max="1" width="34.125" style="45" customWidth="1"/>
    <col min="2" max="2" width="1.375" style="45" customWidth="1"/>
    <col min="3" max="3" width="12.75" style="45" customWidth="1"/>
    <col min="4" max="4" width="1.375" style="45" customWidth="1"/>
    <col min="5" max="5" width="17" style="45" customWidth="1"/>
    <col min="6" max="6" width="1.375" style="45" customWidth="1"/>
    <col min="7" max="7" width="16.75" style="45" bestFit="1" customWidth="1"/>
    <col min="8" max="8" width="0.875" style="45" customWidth="1"/>
    <col min="9" max="9" width="14.25" style="45" customWidth="1"/>
    <col min="10" max="10" width="1.375" style="45" customWidth="1"/>
    <col min="11" max="11" width="12.75" style="45" customWidth="1"/>
    <col min="12" max="12" width="1.375" style="45" customWidth="1"/>
    <col min="13" max="13" width="20.125" style="45" customWidth="1"/>
    <col min="14" max="14" width="1.375" style="45" customWidth="1"/>
    <col min="15" max="15" width="16.75" style="45" bestFit="1" customWidth="1"/>
    <col min="16" max="16" width="1.375" style="45" customWidth="1"/>
    <col min="17" max="17" width="17" style="45" customWidth="1"/>
    <col min="18" max="16384" width="9" style="45"/>
  </cols>
  <sheetData>
    <row r="1" spans="1:20" ht="25.5" customHeight="1" x14ac:dyDescent="0.45">
      <c r="A1" s="344" t="str">
        <f>تیتر!B7</f>
        <v>صندوق سرمایه گذاری املاک و مستغلات خانه آگاه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</row>
    <row r="2" spans="1:20" ht="25.5" customHeight="1" x14ac:dyDescent="0.45">
      <c r="A2" s="344" t="str">
        <f>تیتر!B8</f>
        <v xml:space="preserve">صورت وضعیت درآمدها 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</row>
    <row r="3" spans="1:20" ht="25.5" customHeight="1" x14ac:dyDescent="0.45">
      <c r="A3" s="344" t="str">
        <f>تیتر!B9</f>
        <v>برای ماه منتهی به 1405/05/31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</row>
    <row r="5" spans="1:20" s="56" customFormat="1" ht="25.5" customHeight="1" x14ac:dyDescent="0.55000000000000004">
      <c r="A5" s="380" t="s">
        <v>83</v>
      </c>
      <c r="B5" s="381"/>
      <c r="C5" s="381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</row>
    <row r="6" spans="1:20" ht="18.75" customHeight="1" x14ac:dyDescent="0.45"/>
    <row r="7" spans="1:20" ht="18.75" customHeight="1" x14ac:dyDescent="0.45">
      <c r="C7" s="353" t="str">
        <f>تیتر!A11</f>
        <v>طی مرداد ماه</v>
      </c>
      <c r="D7" s="354"/>
      <c r="E7" s="354"/>
      <c r="F7" s="354"/>
      <c r="G7" s="354"/>
      <c r="H7" s="354"/>
      <c r="I7" s="354"/>
      <c r="K7" s="353" t="str">
        <f>تیتر!B11</f>
        <v>از ابتدای سال مالی تا پایان مرداد ماه 1405</v>
      </c>
      <c r="L7" s="354"/>
      <c r="M7" s="354"/>
      <c r="N7" s="354"/>
      <c r="O7" s="354"/>
      <c r="P7" s="354"/>
      <c r="Q7" s="354"/>
    </row>
    <row r="8" spans="1:20" ht="42" x14ac:dyDescent="0.45">
      <c r="A8" s="5" t="s">
        <v>17</v>
      </c>
      <c r="C8" s="52" t="s">
        <v>2</v>
      </c>
      <c r="E8" s="52" t="s">
        <v>4</v>
      </c>
      <c r="G8" s="52" t="s">
        <v>30</v>
      </c>
      <c r="I8" s="52" t="s">
        <v>54</v>
      </c>
      <c r="K8" s="52" t="s">
        <v>2</v>
      </c>
      <c r="M8" s="52" t="s">
        <v>4</v>
      </c>
      <c r="O8" s="52" t="s">
        <v>30</v>
      </c>
      <c r="Q8" s="52" t="s">
        <v>54</v>
      </c>
    </row>
    <row r="9" spans="1:20" ht="21" customHeight="1" x14ac:dyDescent="0.45">
      <c r="A9" s="4"/>
      <c r="C9" s="3"/>
      <c r="E9" s="3" t="s">
        <v>47</v>
      </c>
      <c r="G9" s="3" t="s">
        <v>47</v>
      </c>
      <c r="I9" s="3" t="s">
        <v>47</v>
      </c>
      <c r="K9" s="3"/>
      <c r="M9" s="3" t="s">
        <v>47</v>
      </c>
      <c r="O9" s="3" t="s">
        <v>47</v>
      </c>
      <c r="Q9" s="3" t="s">
        <v>47</v>
      </c>
    </row>
    <row r="10" spans="1:20" ht="21.75" customHeight="1" x14ac:dyDescent="0.45">
      <c r="A10" s="169" t="s">
        <v>112</v>
      </c>
      <c r="B10" s="155"/>
      <c r="C10" s="248">
        <v>391840</v>
      </c>
      <c r="D10" s="113"/>
      <c r="E10" s="252">
        <v>20158609423</v>
      </c>
      <c r="F10" s="113"/>
      <c r="G10" s="252">
        <v>-19470439465</v>
      </c>
      <c r="H10" s="113"/>
      <c r="I10" s="262">
        <v>688169958</v>
      </c>
      <c r="J10" s="113"/>
      <c r="K10" s="262">
        <v>391840</v>
      </c>
      <c r="L10" s="113"/>
      <c r="M10" s="262">
        <v>20158609423</v>
      </c>
      <c r="N10" s="113"/>
      <c r="O10" s="252">
        <v>-19477875642</v>
      </c>
      <c r="P10" s="113"/>
      <c r="Q10" s="324">
        <v>688169958</v>
      </c>
      <c r="R10" s="45">
        <v>-1</v>
      </c>
    </row>
    <row r="11" spans="1:20" ht="21.75" customHeight="1" x14ac:dyDescent="0.45">
      <c r="A11" s="169" t="s">
        <v>128</v>
      </c>
      <c r="B11" s="155"/>
      <c r="C11" s="248">
        <v>221926</v>
      </c>
      <c r="D11" s="113"/>
      <c r="E11" s="252">
        <v>6501365095</v>
      </c>
      <c r="F11" s="113"/>
      <c r="G11" s="252">
        <v>-6293760980</v>
      </c>
      <c r="H11" s="113"/>
      <c r="I11" s="262">
        <v>207604115</v>
      </c>
      <c r="J11" s="113"/>
      <c r="K11" s="262">
        <v>12332825</v>
      </c>
      <c r="L11" s="113"/>
      <c r="M11" s="262">
        <v>356482446908</v>
      </c>
      <c r="N11" s="113"/>
      <c r="O11" s="252">
        <v>-349888837222</v>
      </c>
      <c r="P11" s="113"/>
      <c r="Q11" s="324">
        <v>6725111074</v>
      </c>
    </row>
    <row r="12" spans="1:20" s="150" customFormat="1" ht="21.75" customHeight="1" x14ac:dyDescent="0.2">
      <c r="A12" s="169" t="s">
        <v>148</v>
      </c>
      <c r="B12" s="154"/>
      <c r="C12" s="248">
        <v>2050694</v>
      </c>
      <c r="D12" s="158"/>
      <c r="E12" s="252">
        <v>221099709356</v>
      </c>
      <c r="F12" s="158"/>
      <c r="G12" s="252">
        <v>-217265985058</v>
      </c>
      <c r="H12" s="158"/>
      <c r="I12" s="262">
        <v>3833724298</v>
      </c>
      <c r="J12" s="158"/>
      <c r="K12" s="262">
        <v>2050694</v>
      </c>
      <c r="L12" s="158"/>
      <c r="M12" s="262">
        <v>221099709356</v>
      </c>
      <c r="N12" s="158"/>
      <c r="O12" s="252">
        <v>-217347545580</v>
      </c>
      <c r="P12" s="158"/>
      <c r="Q12" s="324">
        <v>3833724298</v>
      </c>
      <c r="T12" s="221"/>
    </row>
    <row r="13" spans="1:20" s="150" customFormat="1" ht="21.75" customHeight="1" x14ac:dyDescent="0.2">
      <c r="A13" s="169" t="s">
        <v>101</v>
      </c>
      <c r="B13" s="154"/>
      <c r="C13" s="248">
        <v>1024385</v>
      </c>
      <c r="D13" s="158"/>
      <c r="E13" s="252">
        <v>17999999585</v>
      </c>
      <c r="F13" s="158"/>
      <c r="G13" s="252">
        <v>-17560718217</v>
      </c>
      <c r="H13" s="158"/>
      <c r="I13" s="262">
        <v>439281368</v>
      </c>
      <c r="J13" s="158"/>
      <c r="K13" s="262">
        <v>44093805</v>
      </c>
      <c r="L13" s="158"/>
      <c r="M13" s="262">
        <v>768164848341</v>
      </c>
      <c r="N13" s="158"/>
      <c r="O13" s="252">
        <v>-745015696132</v>
      </c>
      <c r="P13" s="158"/>
      <c r="Q13" s="324">
        <v>23432517478</v>
      </c>
      <c r="T13" s="221"/>
    </row>
    <row r="14" spans="1:20" s="150" customFormat="1" ht="21.75" customHeight="1" x14ac:dyDescent="0.2">
      <c r="A14" s="169" t="s">
        <v>117</v>
      </c>
      <c r="B14" s="154"/>
      <c r="C14" s="248">
        <v>0</v>
      </c>
      <c r="D14" s="158"/>
      <c r="E14" s="248">
        <v>0</v>
      </c>
      <c r="F14" s="158"/>
      <c r="G14" s="145">
        <v>0</v>
      </c>
      <c r="H14" s="158"/>
      <c r="I14" s="262">
        <f>E14+G14</f>
        <v>0</v>
      </c>
      <c r="J14" s="158"/>
      <c r="K14" s="262">
        <v>972120</v>
      </c>
      <c r="L14" s="158"/>
      <c r="M14" s="262">
        <v>11730206779</v>
      </c>
      <c r="N14" s="158"/>
      <c r="O14" s="252">
        <v>-11388144580</v>
      </c>
      <c r="P14" s="158"/>
      <c r="Q14" s="324">
        <v>346315940</v>
      </c>
    </row>
    <row r="15" spans="1:20" s="150" customFormat="1" ht="21.75" customHeight="1" x14ac:dyDescent="0.2">
      <c r="A15" s="169" t="s">
        <v>106</v>
      </c>
      <c r="B15" s="154"/>
      <c r="C15" s="248">
        <v>0</v>
      </c>
      <c r="D15" s="158"/>
      <c r="E15" s="252">
        <v>0</v>
      </c>
      <c r="F15" s="158"/>
      <c r="G15" s="145">
        <v>0</v>
      </c>
      <c r="H15" s="158"/>
      <c r="I15" s="262"/>
      <c r="J15" s="158"/>
      <c r="K15" s="262">
        <v>1445844</v>
      </c>
      <c r="L15" s="158"/>
      <c r="M15" s="262">
        <v>27095933262</v>
      </c>
      <c r="N15" s="158"/>
      <c r="O15" s="252">
        <v>-28510963492</v>
      </c>
      <c r="P15" s="158"/>
      <c r="Q15" s="262">
        <v>-1415030230</v>
      </c>
      <c r="T15" s="221"/>
    </row>
    <row r="16" spans="1:20" s="150" customFormat="1" ht="21.75" customHeight="1" x14ac:dyDescent="0.2">
      <c r="A16" s="169" t="s">
        <v>115</v>
      </c>
      <c r="B16" s="154"/>
      <c r="C16" s="248">
        <v>0</v>
      </c>
      <c r="D16" s="158"/>
      <c r="E16" s="252">
        <v>0</v>
      </c>
      <c r="F16" s="158"/>
      <c r="G16" s="145">
        <v>0</v>
      </c>
      <c r="H16" s="158"/>
      <c r="I16" s="262">
        <f t="shared" ref="I16:I20" si="0">E16+G16</f>
        <v>0</v>
      </c>
      <c r="J16" s="158"/>
      <c r="K16" s="262">
        <v>4347460</v>
      </c>
      <c r="L16" s="158"/>
      <c r="M16" s="262">
        <v>13407458653</v>
      </c>
      <c r="N16" s="158"/>
      <c r="O16" s="252">
        <v>-12418671524</v>
      </c>
      <c r="P16" s="158"/>
      <c r="Q16" s="262">
        <v>988787129</v>
      </c>
    </row>
    <row r="17" spans="1:18" s="150" customFormat="1" ht="21.75" customHeight="1" x14ac:dyDescent="0.2">
      <c r="A17" s="169" t="s">
        <v>63</v>
      </c>
      <c r="B17" s="154"/>
      <c r="C17" s="248">
        <v>0</v>
      </c>
      <c r="D17" s="158"/>
      <c r="E17" s="248">
        <v>0</v>
      </c>
      <c r="F17" s="158"/>
      <c r="G17" s="145">
        <v>0</v>
      </c>
      <c r="H17" s="158"/>
      <c r="I17" s="262">
        <f t="shared" si="0"/>
        <v>0</v>
      </c>
      <c r="J17" s="158"/>
      <c r="K17" s="262">
        <v>79088584</v>
      </c>
      <c r="L17" s="158"/>
      <c r="M17" s="262">
        <v>121090365336</v>
      </c>
      <c r="N17" s="158"/>
      <c r="O17" s="252">
        <v>-119396632578</v>
      </c>
      <c r="P17" s="158"/>
      <c r="Q17" s="262">
        <v>1693732758</v>
      </c>
    </row>
    <row r="18" spans="1:18" s="150" customFormat="1" ht="21.75" customHeight="1" x14ac:dyDescent="0.2">
      <c r="A18" s="169" t="s">
        <v>69</v>
      </c>
      <c r="B18" s="154"/>
      <c r="C18" s="248">
        <v>0</v>
      </c>
      <c r="D18" s="158"/>
      <c r="E18" s="248">
        <v>0</v>
      </c>
      <c r="F18" s="158"/>
      <c r="G18" s="145">
        <v>0</v>
      </c>
      <c r="H18" s="158"/>
      <c r="I18" s="262">
        <f t="shared" si="0"/>
        <v>0</v>
      </c>
      <c r="J18" s="158"/>
      <c r="K18" s="262">
        <v>91961793</v>
      </c>
      <c r="L18" s="158"/>
      <c r="M18" s="262">
        <v>53473044257</v>
      </c>
      <c r="N18" s="158"/>
      <c r="O18" s="252">
        <v>-46851414450</v>
      </c>
      <c r="P18" s="158"/>
      <c r="Q18" s="262">
        <v>6621629807</v>
      </c>
    </row>
    <row r="19" spans="1:18" s="150" customFormat="1" ht="21.75" customHeight="1" x14ac:dyDescent="0.2">
      <c r="A19" s="169" t="s">
        <v>62</v>
      </c>
      <c r="B19" s="154"/>
      <c r="C19" s="248">
        <v>0</v>
      </c>
      <c r="D19" s="158"/>
      <c r="E19" s="248">
        <v>0</v>
      </c>
      <c r="F19" s="158"/>
      <c r="G19" s="145">
        <v>0</v>
      </c>
      <c r="H19" s="158"/>
      <c r="I19" s="262">
        <f t="shared" si="0"/>
        <v>0</v>
      </c>
      <c r="J19" s="158"/>
      <c r="K19" s="262">
        <v>5740259</v>
      </c>
      <c r="L19" s="158"/>
      <c r="M19" s="262">
        <v>8042312452</v>
      </c>
      <c r="N19" s="158"/>
      <c r="O19" s="252">
        <v>-8184992952</v>
      </c>
      <c r="P19" s="158"/>
      <c r="Q19" s="262">
        <v>-142680500</v>
      </c>
    </row>
    <row r="20" spans="1:18" s="150" customFormat="1" ht="21.75" customHeight="1" x14ac:dyDescent="0.2">
      <c r="A20" s="169" t="s">
        <v>68</v>
      </c>
      <c r="B20" s="154"/>
      <c r="C20" s="248">
        <v>0</v>
      </c>
      <c r="D20" s="158"/>
      <c r="E20" s="248">
        <v>0</v>
      </c>
      <c r="F20" s="158"/>
      <c r="G20" s="145">
        <v>0</v>
      </c>
      <c r="H20" s="158"/>
      <c r="I20" s="262">
        <f t="shared" si="0"/>
        <v>0</v>
      </c>
      <c r="J20" s="158"/>
      <c r="K20" s="262">
        <v>3533570</v>
      </c>
      <c r="L20" s="158"/>
      <c r="M20" s="262">
        <v>4996881594</v>
      </c>
      <c r="N20" s="158"/>
      <c r="O20" s="252">
        <v>-4813730925</v>
      </c>
      <c r="P20" s="158"/>
      <c r="Q20" s="262">
        <v>183150669</v>
      </c>
    </row>
    <row r="21" spans="1:18" s="150" customFormat="1" ht="26.25" customHeight="1" thickBot="1" x14ac:dyDescent="0.25">
      <c r="A21" s="199"/>
      <c r="B21" s="153"/>
      <c r="C21" s="205"/>
      <c r="D21" s="204"/>
      <c r="E21" s="206">
        <f>SUM(E10:E20)</f>
        <v>265759683459</v>
      </c>
      <c r="F21" s="204"/>
      <c r="G21" s="206">
        <f>SUM(G10:G20)</f>
        <v>-260590903720</v>
      </c>
      <c r="H21" s="204"/>
      <c r="I21" s="206">
        <f>SUM(I10:I20)</f>
        <v>5168779739</v>
      </c>
      <c r="J21" s="204"/>
      <c r="K21" s="205"/>
      <c r="L21" s="204"/>
      <c r="M21" s="206">
        <f>SUM(M10:M20)</f>
        <v>1605741816361</v>
      </c>
      <c r="N21" s="204"/>
      <c r="O21" s="206">
        <f>SUM(O10:O20)</f>
        <v>-1563294505077</v>
      </c>
      <c r="P21" s="204"/>
      <c r="Q21" s="206">
        <f>SUM(Q10:Q20)</f>
        <v>42955428381</v>
      </c>
    </row>
    <row r="22" spans="1:18" ht="6" customHeight="1" thickTop="1" x14ac:dyDescent="0.45">
      <c r="C22" s="49"/>
      <c r="D22" s="3"/>
      <c r="E22" s="49"/>
      <c r="G22" s="49"/>
      <c r="I22" s="49"/>
      <c r="J22" s="3"/>
      <c r="K22" s="49"/>
      <c r="L22" s="3"/>
      <c r="M22" s="49"/>
      <c r="N22" s="3"/>
      <c r="O22" s="49"/>
      <c r="P22" s="3"/>
      <c r="Q22" s="49"/>
    </row>
    <row r="23" spans="1:18" ht="18.75" x14ac:dyDescent="0.45">
      <c r="A23" s="157"/>
      <c r="P23" s="3"/>
    </row>
    <row r="24" spans="1:18" ht="18.75" x14ac:dyDescent="0.45">
      <c r="A24" s="376" t="s">
        <v>31</v>
      </c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9"/>
    </row>
    <row r="25" spans="1:18" ht="18.75" hidden="1" x14ac:dyDescent="0.45">
      <c r="I25" s="170">
        <f>'درآمد سرمایه گذاری در سهام '!G18+'درآمد سرمایه گذاری در صندوق'!G16</f>
        <v>5168779739</v>
      </c>
      <c r="Q25" s="55">
        <f>'درآمد سرمایه گذاری در سهام '!Q18+'درآمد سرمایه گذاری در صندوق'!Q16</f>
        <v>42955428381</v>
      </c>
    </row>
    <row r="26" spans="1:18" ht="18.75" hidden="1" x14ac:dyDescent="0.45">
      <c r="I26" s="170">
        <f>I21-I25</f>
        <v>0</v>
      </c>
      <c r="Q26" s="99">
        <f>Q21-Q25</f>
        <v>0</v>
      </c>
    </row>
    <row r="27" spans="1:18" hidden="1" x14ac:dyDescent="0.45">
      <c r="G27" s="190"/>
      <c r="I27" s="99"/>
      <c r="Q27" s="99"/>
    </row>
    <row r="28" spans="1:18" hidden="1" x14ac:dyDescent="0.45">
      <c r="I28" s="55"/>
      <c r="Q28" s="55"/>
    </row>
    <row r="29" spans="1:18" x14ac:dyDescent="0.45">
      <c r="I29" s="55">
        <f>'درآمد سرمایه گذاری در سهام '!G18+'درآمد سرمایه گذاری در صندوق'!G16</f>
        <v>5168779739</v>
      </c>
      <c r="Q29" s="55">
        <f>'درآمد سرمایه گذاری در سهام '!Q18+'درآمد سرمایه گذاری در صندوق'!Q16</f>
        <v>42955428381</v>
      </c>
    </row>
    <row r="30" spans="1:18" x14ac:dyDescent="0.45">
      <c r="G30" s="190"/>
      <c r="I30" s="99">
        <f>I21-I29</f>
        <v>0</v>
      </c>
      <c r="O30" s="190"/>
      <c r="Q30" s="55">
        <f>Q21-Q29</f>
        <v>0</v>
      </c>
    </row>
    <row r="31" spans="1:18" ht="18.75" x14ac:dyDescent="0.45">
      <c r="I31" s="203"/>
      <c r="J31" s="203"/>
      <c r="K31" s="203"/>
      <c r="L31" s="203"/>
      <c r="M31" s="203"/>
      <c r="N31" s="203"/>
      <c r="O31" s="203"/>
      <c r="P31" s="203"/>
      <c r="Q31" s="203"/>
      <c r="R31" s="203"/>
    </row>
    <row r="32" spans="1:18" ht="18.75" x14ac:dyDescent="0.45">
      <c r="I32" s="203"/>
      <c r="J32" s="203"/>
      <c r="K32" s="203"/>
      <c r="L32" s="203"/>
      <c r="M32" s="203"/>
      <c r="N32" s="203"/>
      <c r="O32" s="203"/>
      <c r="P32" s="203"/>
      <c r="Q32" s="203"/>
      <c r="R32" s="203"/>
    </row>
    <row r="33" spans="9:18" ht="18.75" x14ac:dyDescent="0.45">
      <c r="I33" s="203"/>
      <c r="J33" s="203"/>
      <c r="K33" s="203"/>
      <c r="L33" s="203"/>
      <c r="M33" s="203"/>
      <c r="N33" s="203"/>
      <c r="O33" s="203"/>
      <c r="P33" s="203"/>
      <c r="Q33" s="203"/>
      <c r="R33" s="203"/>
    </row>
    <row r="34" spans="9:18" x14ac:dyDescent="0.45">
      <c r="I34" s="99"/>
    </row>
  </sheetData>
  <mergeCells count="7">
    <mergeCell ref="A24:Q24"/>
    <mergeCell ref="A1:Q1"/>
    <mergeCell ref="A2:Q2"/>
    <mergeCell ref="A3:Q3"/>
    <mergeCell ref="A5:Q5"/>
    <mergeCell ref="C7:I7"/>
    <mergeCell ref="K7:Q7"/>
  </mergeCells>
  <printOptions horizontalCentered="1"/>
  <pageMargins left="0.51181102362204722" right="0.51181102362204722" top="0.74803149606299213" bottom="0.55118110236220474" header="0.31496062992125984" footer="0.31496062992125984"/>
  <pageSetup paperSize="9" scale="72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31"/>
  <sheetViews>
    <sheetView rightToLeft="1" view="pageBreakPreview" topLeftCell="A16" zoomScale="90" zoomScaleNormal="100" zoomScaleSheetLayoutView="90" workbookViewId="0">
      <selection activeCell="A26" sqref="A26:XFD29"/>
    </sheetView>
  </sheetViews>
  <sheetFormatPr defaultColWidth="9" defaultRowHeight="18" x14ac:dyDescent="0.45"/>
  <cols>
    <col min="1" max="1" width="28.25" style="61" bestFit="1" customWidth="1"/>
    <col min="2" max="2" width="1.375" style="61" customWidth="1"/>
    <col min="3" max="3" width="12.375" style="61" customWidth="1"/>
    <col min="4" max="4" width="1.375" style="61" customWidth="1"/>
    <col min="5" max="5" width="18.25" style="61" bestFit="1" customWidth="1"/>
    <col min="6" max="6" width="1.375" style="61" customWidth="1"/>
    <col min="7" max="7" width="19.75" style="61" customWidth="1"/>
    <col min="8" max="8" width="1.375" style="61" customWidth="1"/>
    <col min="9" max="9" width="19.375" style="61" customWidth="1"/>
    <col min="10" max="10" width="1.375" style="61" customWidth="1"/>
    <col min="11" max="11" width="14.25" style="61" customWidth="1"/>
    <col min="12" max="12" width="1.375" style="61" customWidth="1"/>
    <col min="13" max="13" width="17.625" style="61" customWidth="1"/>
    <col min="14" max="14" width="1.375" style="61" customWidth="1"/>
    <col min="15" max="15" width="20" style="61" customWidth="1"/>
    <col min="16" max="16" width="1.375" style="61" customWidth="1"/>
    <col min="17" max="17" width="27" style="61" customWidth="1"/>
    <col min="18" max="18" width="1.125" style="61" customWidth="1"/>
    <col min="19" max="19" width="28.375" style="61" hidden="1" customWidth="1"/>
    <col min="20" max="20" width="15.625" style="61" hidden="1" customWidth="1"/>
    <col min="21" max="16384" width="9" style="61"/>
  </cols>
  <sheetData>
    <row r="1" spans="1:20" ht="28.5" customHeight="1" x14ac:dyDescent="0.45">
      <c r="A1" s="390" t="str">
        <f>تیتر!B7</f>
        <v>صندوق سرمایه گذاری املاک و مستغلات خانه آگاه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</row>
    <row r="2" spans="1:20" ht="28.5" customHeight="1" x14ac:dyDescent="0.45">
      <c r="A2" s="390" t="str">
        <f>تیتر!B8</f>
        <v xml:space="preserve">صورت وضعیت درآمدها 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</row>
    <row r="3" spans="1:20" ht="28.5" customHeight="1" x14ac:dyDescent="0.45">
      <c r="A3" s="390" t="str">
        <f>تیتر!B9</f>
        <v>برای ماه منتهی به 1405/05/31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</row>
    <row r="4" spans="1:20" ht="45.75" customHeight="1" x14ac:dyDescent="0.45"/>
    <row r="5" spans="1:20" ht="27.75" customHeight="1" x14ac:dyDescent="0.55000000000000004">
      <c r="A5" s="392" t="s">
        <v>82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</row>
    <row r="6" spans="1:20" ht="34.5" customHeight="1" x14ac:dyDescent="0.45"/>
    <row r="7" spans="1:20" ht="21" x14ac:dyDescent="0.45">
      <c r="C7" s="394" t="str">
        <f>تیتر!A11</f>
        <v>طی مرداد ماه</v>
      </c>
      <c r="D7" s="395"/>
      <c r="E7" s="395"/>
      <c r="F7" s="395"/>
      <c r="G7" s="395"/>
      <c r="H7" s="395"/>
      <c r="I7" s="395"/>
      <c r="K7" s="394" t="str">
        <f>تیتر!B11</f>
        <v>از ابتدای سال مالی تا پایان مرداد ماه 1405</v>
      </c>
      <c r="L7" s="395"/>
      <c r="M7" s="395"/>
      <c r="N7" s="395"/>
      <c r="O7" s="395"/>
      <c r="P7" s="395"/>
      <c r="Q7" s="395"/>
    </row>
    <row r="8" spans="1:20" ht="48" customHeight="1" x14ac:dyDescent="0.45">
      <c r="A8" s="62" t="s">
        <v>17</v>
      </c>
      <c r="C8" s="63" t="s">
        <v>2</v>
      </c>
      <c r="E8" s="63" t="s">
        <v>4</v>
      </c>
      <c r="G8" s="63" t="s">
        <v>30</v>
      </c>
      <c r="I8" s="63" t="s">
        <v>53</v>
      </c>
      <c r="K8" s="63" t="s">
        <v>2</v>
      </c>
      <c r="M8" s="63" t="s">
        <v>4</v>
      </c>
      <c r="O8" s="63" t="s">
        <v>30</v>
      </c>
      <c r="Q8" s="63" t="s">
        <v>53</v>
      </c>
      <c r="T8" s="61">
        <v>-1</v>
      </c>
    </row>
    <row r="9" spans="1:20" ht="18" customHeight="1" x14ac:dyDescent="0.45">
      <c r="A9" s="211"/>
      <c r="C9" s="64"/>
      <c r="E9" s="64" t="s">
        <v>47</v>
      </c>
      <c r="G9" s="211" t="s">
        <v>47</v>
      </c>
      <c r="I9" s="64" t="s">
        <v>47</v>
      </c>
      <c r="K9" s="64"/>
      <c r="M9" s="64" t="s">
        <v>47</v>
      </c>
      <c r="O9" s="64" t="s">
        <v>47</v>
      </c>
      <c r="Q9" s="211" t="s">
        <v>47</v>
      </c>
    </row>
    <row r="10" spans="1:20" ht="33.75" customHeight="1" x14ac:dyDescent="0.45">
      <c r="A10" s="199" t="s">
        <v>62</v>
      </c>
      <c r="B10" s="234"/>
      <c r="C10" s="261">
        <v>802740</v>
      </c>
      <c r="D10" s="198"/>
      <c r="E10" s="168">
        <v>1330213149</v>
      </c>
      <c r="F10" s="168"/>
      <c r="G10" s="168">
        <v>-1128689839</v>
      </c>
      <c r="H10" s="168"/>
      <c r="I10" s="168">
        <f>E10+G10</f>
        <v>201523310</v>
      </c>
      <c r="J10" s="168"/>
      <c r="K10" s="168">
        <v>802740</v>
      </c>
      <c r="L10" s="168"/>
      <c r="M10" s="168">
        <v>1330213149</v>
      </c>
      <c r="N10" s="168"/>
      <c r="O10" s="168">
        <v>-1153382422</v>
      </c>
      <c r="P10" s="168"/>
      <c r="Q10" s="168">
        <f>M10+O10</f>
        <v>176830727</v>
      </c>
      <c r="S10" s="122" t="e">
        <f>VLOOKUP(A10,صندوق!A11:Q14,17,0)-K10</f>
        <v>#N/A</v>
      </c>
      <c r="T10" s="298"/>
    </row>
    <row r="11" spans="1:20" ht="33.75" customHeight="1" x14ac:dyDescent="0.45">
      <c r="A11" s="199" t="s">
        <v>151</v>
      </c>
      <c r="B11" s="234"/>
      <c r="C11" s="261">
        <v>3624175</v>
      </c>
      <c r="D11" s="198"/>
      <c r="E11" s="168">
        <v>63975688663</v>
      </c>
      <c r="F11" s="168"/>
      <c r="G11" s="168">
        <v>-56292408888</v>
      </c>
      <c r="H11" s="168"/>
      <c r="I11" s="168">
        <f t="shared" ref="I11:I21" si="0">E11+G11</f>
        <v>7683279775</v>
      </c>
      <c r="J11" s="168"/>
      <c r="K11" s="168">
        <v>3624175</v>
      </c>
      <c r="L11" s="168"/>
      <c r="M11" s="168">
        <v>63975688663</v>
      </c>
      <c r="N11" s="168"/>
      <c r="O11" s="168">
        <v>-56292408888</v>
      </c>
      <c r="P11" s="168"/>
      <c r="Q11" s="168">
        <f t="shared" ref="Q11:Q21" si="1">M11+O11</f>
        <v>7683279775</v>
      </c>
      <c r="S11" s="122" t="e">
        <f>VLOOKUP(A11,صندوق!A12:Q15,17,0)-K11</f>
        <v>#N/A</v>
      </c>
    </row>
    <row r="12" spans="1:20" ht="33.75" customHeight="1" x14ac:dyDescent="0.45">
      <c r="A12" s="199" t="s">
        <v>101</v>
      </c>
      <c r="B12" s="234"/>
      <c r="C12" s="261">
        <v>11570689</v>
      </c>
      <c r="D12" s="198"/>
      <c r="E12" s="168">
        <v>207247154922</v>
      </c>
      <c r="F12" s="168"/>
      <c r="G12" s="168">
        <v>-202097866484</v>
      </c>
      <c r="H12" s="168"/>
      <c r="I12" s="168">
        <f t="shared" si="0"/>
        <v>5149288438</v>
      </c>
      <c r="J12" s="168"/>
      <c r="K12" s="168">
        <v>11570689</v>
      </c>
      <c r="L12" s="168"/>
      <c r="M12" s="168">
        <v>207247154922</v>
      </c>
      <c r="N12" s="168"/>
      <c r="O12" s="168">
        <v>-198427776523</v>
      </c>
      <c r="P12" s="168"/>
      <c r="Q12" s="168">
        <f t="shared" si="1"/>
        <v>8819378399</v>
      </c>
      <c r="S12" s="122">
        <f>صندوق!Q11-K12</f>
        <v>-11570689</v>
      </c>
      <c r="T12" s="298"/>
    </row>
    <row r="13" spans="1:20" ht="33.75" customHeight="1" x14ac:dyDescent="0.45">
      <c r="A13" s="199" t="s">
        <v>69</v>
      </c>
      <c r="B13" s="234"/>
      <c r="C13" s="260">
        <v>21000000</v>
      </c>
      <c r="D13" s="198"/>
      <c r="E13" s="168">
        <v>14398829970</v>
      </c>
      <c r="F13" s="168"/>
      <c r="G13" s="168">
        <v>-12210874620</v>
      </c>
      <c r="H13" s="168"/>
      <c r="I13" s="168">
        <f t="shared" si="0"/>
        <v>2187955350</v>
      </c>
      <c r="J13" s="168"/>
      <c r="K13" s="168">
        <v>21000000</v>
      </c>
      <c r="L13" s="168"/>
      <c r="M13" s="168">
        <v>14398829970</v>
      </c>
      <c r="N13" s="168"/>
      <c r="O13" s="168">
        <v>-10793913049</v>
      </c>
      <c r="P13" s="168"/>
      <c r="Q13" s="168">
        <f t="shared" si="1"/>
        <v>3604916921</v>
      </c>
      <c r="S13" s="122" t="e">
        <f>VLOOKUP(A13,صندوق!A14:Q17,17,0)-K13</f>
        <v>#N/A</v>
      </c>
      <c r="T13" s="298"/>
    </row>
    <row r="14" spans="1:20" s="297" customFormat="1" ht="33.75" customHeight="1" x14ac:dyDescent="0.45">
      <c r="A14" s="199" t="s">
        <v>63</v>
      </c>
      <c r="B14" s="234"/>
      <c r="C14" s="260">
        <v>31128119</v>
      </c>
      <c r="D14" s="198"/>
      <c r="E14" s="168">
        <v>57481634969</v>
      </c>
      <c r="F14" s="168"/>
      <c r="G14" s="168">
        <v>-56325312621</v>
      </c>
      <c r="H14" s="168"/>
      <c r="I14" s="168">
        <f t="shared" si="0"/>
        <v>1156322348</v>
      </c>
      <c r="J14" s="168"/>
      <c r="K14" s="168">
        <v>31128119</v>
      </c>
      <c r="L14" s="168"/>
      <c r="M14" s="168">
        <v>57481634969</v>
      </c>
      <c r="N14" s="168"/>
      <c r="O14" s="168">
        <v>-56325312621</v>
      </c>
      <c r="P14" s="168"/>
      <c r="Q14" s="168">
        <f t="shared" si="1"/>
        <v>1156322348</v>
      </c>
      <c r="T14" s="298"/>
    </row>
    <row r="15" spans="1:20" s="297" customFormat="1" ht="33.75" customHeight="1" x14ac:dyDescent="0.45">
      <c r="A15" s="199" t="s">
        <v>68</v>
      </c>
      <c r="B15" s="234"/>
      <c r="C15" s="260">
        <v>3874434</v>
      </c>
      <c r="D15" s="198"/>
      <c r="E15" s="168">
        <v>6304954785</v>
      </c>
      <c r="F15" s="168"/>
      <c r="G15" s="168">
        <v>-5562969252</v>
      </c>
      <c r="H15" s="168"/>
      <c r="I15" s="168">
        <f t="shared" si="0"/>
        <v>741985533</v>
      </c>
      <c r="J15" s="168"/>
      <c r="K15" s="168">
        <v>3874434</v>
      </c>
      <c r="L15" s="168"/>
      <c r="M15" s="168">
        <v>6304954785</v>
      </c>
      <c r="N15" s="168"/>
      <c r="O15" s="168">
        <v>-5320766732</v>
      </c>
      <c r="P15" s="168"/>
      <c r="Q15" s="168">
        <f t="shared" si="1"/>
        <v>984188053</v>
      </c>
      <c r="T15" s="298"/>
    </row>
    <row r="16" spans="1:20" ht="33.75" customHeight="1" x14ac:dyDescent="0.45">
      <c r="A16" s="199" t="s">
        <v>74</v>
      </c>
      <c r="B16" s="234"/>
      <c r="C16" s="260">
        <v>8044125</v>
      </c>
      <c r="D16" s="198"/>
      <c r="E16" s="168">
        <v>113263784136</v>
      </c>
      <c r="F16" s="168"/>
      <c r="G16" s="168">
        <v>-98976104530</v>
      </c>
      <c r="H16" s="168"/>
      <c r="I16" s="168">
        <f t="shared" si="0"/>
        <v>14287679606</v>
      </c>
      <c r="J16" s="168"/>
      <c r="K16" s="168">
        <v>8044125</v>
      </c>
      <c r="L16" s="168"/>
      <c r="M16" s="168">
        <v>113263784136</v>
      </c>
      <c r="N16" s="168"/>
      <c r="O16" s="168">
        <v>-102887257048</v>
      </c>
      <c r="P16" s="168"/>
      <c r="Q16" s="168">
        <f t="shared" si="1"/>
        <v>10376527088</v>
      </c>
      <c r="S16" s="235">
        <f>VLOOKUP(A16,'سرمایه گذاری در سهام (2)'!A12:Q19,17,0)-K16</f>
        <v>0</v>
      </c>
      <c r="T16" s="298"/>
    </row>
    <row r="17" spans="1:20" ht="33.75" customHeight="1" x14ac:dyDescent="0.45">
      <c r="A17" s="199" t="s">
        <v>106</v>
      </c>
      <c r="B17" s="234"/>
      <c r="C17" s="260">
        <v>13459792</v>
      </c>
      <c r="D17" s="198"/>
      <c r="E17" s="168">
        <v>57256090852</v>
      </c>
      <c r="F17" s="168"/>
      <c r="G17" s="168">
        <v>-56451410097</v>
      </c>
      <c r="H17" s="168"/>
      <c r="I17" s="168">
        <f t="shared" si="0"/>
        <v>804680755</v>
      </c>
      <c r="J17" s="168"/>
      <c r="K17" s="168">
        <v>13459792</v>
      </c>
      <c r="L17" s="168"/>
      <c r="M17" s="168">
        <v>57256090852</v>
      </c>
      <c r="N17" s="168"/>
      <c r="O17" s="168">
        <v>-73530073489</v>
      </c>
      <c r="P17" s="168"/>
      <c r="Q17" s="168">
        <f t="shared" si="1"/>
        <v>-16273982637</v>
      </c>
      <c r="S17" s="235">
        <f>VLOOKUP(A17,'سرمایه گذاری در سهام (2)'!A13:Q20,17,0)-K17</f>
        <v>0</v>
      </c>
      <c r="T17" s="298"/>
    </row>
    <row r="18" spans="1:20" ht="33.75" customHeight="1" x14ac:dyDescent="0.45">
      <c r="A18" s="199" t="s">
        <v>148</v>
      </c>
      <c r="B18" s="234"/>
      <c r="C18" s="261">
        <v>6915252</v>
      </c>
      <c r="D18" s="198"/>
      <c r="E18" s="168">
        <v>751631913953</v>
      </c>
      <c r="F18" s="168"/>
      <c r="G18" s="168">
        <v>-732382928981</v>
      </c>
      <c r="H18" s="168"/>
      <c r="I18" s="168">
        <f t="shared" si="0"/>
        <v>19248984972</v>
      </c>
      <c r="J18" s="168"/>
      <c r="K18" s="168">
        <v>6915252</v>
      </c>
      <c r="L18" s="168"/>
      <c r="M18" s="168">
        <v>751631913953</v>
      </c>
      <c r="N18" s="168"/>
      <c r="O18" s="168">
        <v>-732928973926</v>
      </c>
      <c r="P18" s="168"/>
      <c r="Q18" s="168">
        <f t="shared" si="1"/>
        <v>18702940027</v>
      </c>
      <c r="S18" s="235">
        <f>55790022-K18</f>
        <v>48874770</v>
      </c>
      <c r="T18" s="298"/>
    </row>
    <row r="19" spans="1:20" ht="33.75" customHeight="1" x14ac:dyDescent="0.45">
      <c r="A19" s="199" t="s">
        <v>115</v>
      </c>
      <c r="B19" s="234"/>
      <c r="C19" s="260">
        <v>6945183</v>
      </c>
      <c r="D19" s="198"/>
      <c r="E19" s="168">
        <v>26187687594</v>
      </c>
      <c r="F19" s="168"/>
      <c r="G19" s="168">
        <v>-24995465419</v>
      </c>
      <c r="H19" s="168"/>
      <c r="I19" s="168">
        <f t="shared" si="0"/>
        <v>1192222175</v>
      </c>
      <c r="J19" s="168"/>
      <c r="K19" s="168">
        <v>6945183</v>
      </c>
      <c r="L19" s="168"/>
      <c r="M19" s="168">
        <v>26187687594</v>
      </c>
      <c r="N19" s="168"/>
      <c r="O19" s="168">
        <v>-24637258578</v>
      </c>
      <c r="P19" s="168"/>
      <c r="Q19" s="168">
        <f t="shared" si="1"/>
        <v>1550429016</v>
      </c>
      <c r="S19" s="235" t="e">
        <f>VLOOKUP(A19,'سرمایه گذاری در سهام (2)'!A15:Q22,17,0)-K19</f>
        <v>#N/A</v>
      </c>
    </row>
    <row r="20" spans="1:20" s="317" customFormat="1" ht="33.75" customHeight="1" x14ac:dyDescent="0.45">
      <c r="A20" s="199" t="s">
        <v>112</v>
      </c>
      <c r="B20" s="234"/>
      <c r="C20" s="260"/>
      <c r="D20" s="198"/>
      <c r="E20" s="168">
        <v>0</v>
      </c>
      <c r="F20" s="168"/>
      <c r="G20" s="168">
        <v>-547807870</v>
      </c>
      <c r="H20" s="168"/>
      <c r="I20" s="168">
        <f>E20+G20</f>
        <v>-547807870</v>
      </c>
      <c r="J20" s="168"/>
      <c r="K20" s="168">
        <v>0</v>
      </c>
      <c r="L20" s="168"/>
      <c r="M20" s="168">
        <v>0</v>
      </c>
      <c r="N20" s="168"/>
      <c r="O20" s="168">
        <v>0</v>
      </c>
      <c r="P20" s="168"/>
      <c r="Q20" s="168">
        <f>M20+O20</f>
        <v>0</v>
      </c>
      <c r="S20" s="235"/>
    </row>
    <row r="21" spans="1:20" s="317" customFormat="1" ht="33.75" customHeight="1" x14ac:dyDescent="0.45">
      <c r="A21" s="199" t="s">
        <v>128</v>
      </c>
      <c r="B21" s="234"/>
      <c r="C21" s="260"/>
      <c r="D21" s="198"/>
      <c r="E21" s="168">
        <v>0</v>
      </c>
      <c r="F21" s="168"/>
      <c r="G21" s="168">
        <v>-199437903</v>
      </c>
      <c r="H21" s="168"/>
      <c r="I21" s="168">
        <f t="shared" si="0"/>
        <v>-199437903</v>
      </c>
      <c r="J21" s="168"/>
      <c r="K21" s="168">
        <v>0</v>
      </c>
      <c r="L21" s="168"/>
      <c r="M21" s="168">
        <v>0</v>
      </c>
      <c r="N21" s="168"/>
      <c r="O21" s="168">
        <v>0</v>
      </c>
      <c r="P21" s="168"/>
      <c r="Q21" s="168">
        <f t="shared" si="1"/>
        <v>0</v>
      </c>
      <c r="S21" s="235"/>
    </row>
    <row r="22" spans="1:20" ht="29.25" customHeight="1" thickBot="1" x14ac:dyDescent="0.5">
      <c r="A22" s="7"/>
      <c r="B22" s="45"/>
      <c r="C22" s="184"/>
      <c r="D22" s="99"/>
      <c r="E22" s="97">
        <f>SUM(E10:E21)</f>
        <v>1299077952993</v>
      </c>
      <c r="F22" s="99"/>
      <c r="G22" s="97">
        <f>SUM(G10:G21)</f>
        <v>-1247171276504</v>
      </c>
      <c r="H22" s="99"/>
      <c r="I22" s="97">
        <f>SUM(I10:I21)</f>
        <v>51906676489</v>
      </c>
      <c r="J22" s="99"/>
      <c r="K22" s="184"/>
      <c r="L22" s="99"/>
      <c r="M22" s="97">
        <f>SUM(M10:M21)</f>
        <v>1299077952993</v>
      </c>
      <c r="N22" s="99"/>
      <c r="O22" s="97">
        <f>SUM(O10:O21)</f>
        <v>-1262297123276</v>
      </c>
      <c r="P22" s="99"/>
      <c r="Q22" s="97">
        <f>SUM(Q10:Q21)</f>
        <v>36780829717</v>
      </c>
      <c r="S22" s="168"/>
    </row>
    <row r="23" spans="1:20" ht="6" customHeight="1" thickTop="1" x14ac:dyDescent="0.45">
      <c r="A23" s="45"/>
      <c r="B23" s="45"/>
      <c r="C23" s="49"/>
      <c r="D23" s="45"/>
      <c r="E23" s="49"/>
      <c r="F23" s="45"/>
      <c r="G23" s="49"/>
      <c r="H23" s="45"/>
      <c r="I23" s="49"/>
      <c r="J23" s="45"/>
      <c r="K23" s="49"/>
      <c r="L23" s="45"/>
      <c r="M23" s="49"/>
      <c r="N23" s="45"/>
      <c r="O23" s="49"/>
      <c r="P23" s="45"/>
      <c r="Q23" s="49"/>
    </row>
    <row r="24" spans="1:20" ht="22.5" hidden="1" customHeight="1" x14ac:dyDescent="0.45">
      <c r="A24" s="45"/>
      <c r="B24" s="45"/>
      <c r="C24" s="45"/>
      <c r="D24" s="45"/>
      <c r="E24" s="45"/>
      <c r="F24" s="45"/>
      <c r="G24" s="99"/>
      <c r="H24" s="45"/>
      <c r="I24" s="168">
        <f>'درآمد سرمایه گذاری در سهام '!E18+'درآمد سرمایه گذاری در صندوق'!E16</f>
        <v>51906676489</v>
      </c>
      <c r="J24" s="45"/>
      <c r="K24" s="45"/>
      <c r="L24" s="45"/>
      <c r="M24" s="45"/>
      <c r="N24" s="45"/>
      <c r="O24" s="45"/>
      <c r="P24" s="45"/>
      <c r="Q24" s="98">
        <f>'درآمد سرمایه گذاری در سهام '!O18+'درآمد سرمایه گذاری در صندوق'!O16</f>
        <v>36780829719</v>
      </c>
    </row>
    <row r="25" spans="1:20" ht="22.5" hidden="1" customHeight="1" x14ac:dyDescent="0.45">
      <c r="I25" s="174">
        <f>I22-I24</f>
        <v>0</v>
      </c>
      <c r="Q25" s="122">
        <f>Q22-Q24</f>
        <v>-2</v>
      </c>
    </row>
    <row r="26" spans="1:20" ht="22.5" hidden="1" customHeight="1" x14ac:dyDescent="0.45">
      <c r="G26" s="174"/>
      <c r="I26" s="235">
        <f>'درآمد سرمایه گذاری در سهام '!E18+'درآمد سرمایه گذاری در صندوق'!E16</f>
        <v>51906676489</v>
      </c>
      <c r="Q26" s="122">
        <f>'درآمد سرمایه گذاری در سهام '!O18+'درآمد سرمایه گذاری در صندوق'!O16</f>
        <v>36780829719</v>
      </c>
    </row>
    <row r="27" spans="1:20" ht="22.5" hidden="1" customHeight="1" x14ac:dyDescent="0.45">
      <c r="I27" s="122">
        <f>I22-I26</f>
        <v>0</v>
      </c>
      <c r="Q27" s="174">
        <f>Q22-Q26</f>
        <v>-2</v>
      </c>
    </row>
    <row r="28" spans="1:20" hidden="1" x14ac:dyDescent="0.45">
      <c r="I28" s="122"/>
      <c r="Q28" s="122"/>
    </row>
    <row r="29" spans="1:20" hidden="1" x14ac:dyDescent="0.45">
      <c r="I29" s="174"/>
      <c r="Q29" s="174"/>
    </row>
    <row r="31" spans="1:20" x14ac:dyDescent="0.45">
      <c r="M31" s="174"/>
    </row>
  </sheetData>
  <mergeCells count="6">
    <mergeCell ref="A1:Q1"/>
    <mergeCell ref="A2:Q2"/>
    <mergeCell ref="A3:Q3"/>
    <mergeCell ref="A5:Q5"/>
    <mergeCell ref="C7:I7"/>
    <mergeCell ref="K7:Q7"/>
  </mergeCells>
  <printOptions horizontalCentered="1"/>
  <pageMargins left="0.39370078740157483" right="0.39370078740157483" top="0.47244094488188981" bottom="0.39370078740157483" header="0.31496062992125984" footer="0.31496062992125984"/>
  <pageSetup paperSize="9" scale="63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8"/>
  <sheetViews>
    <sheetView rightToLeft="1" tabSelected="1" view="pageBreakPreview" zoomScaleNormal="100" zoomScaleSheetLayoutView="100" workbookViewId="0">
      <selection activeCell="A15" sqref="A15:XFD18"/>
    </sheetView>
  </sheetViews>
  <sheetFormatPr defaultColWidth="9.125" defaultRowHeight="18" x14ac:dyDescent="0.45"/>
  <cols>
    <col min="1" max="1" width="14.875" style="66" customWidth="1"/>
    <col min="2" max="2" width="1.375" style="66" customWidth="1"/>
    <col min="3" max="3" width="20.75" style="66" customWidth="1"/>
    <col min="4" max="4" width="1.375" style="66" customWidth="1"/>
    <col min="5" max="5" width="13.875" style="66" customWidth="1"/>
    <col min="6" max="6" width="1.375" style="66" customWidth="1"/>
    <col min="7" max="7" width="17.625" style="66" customWidth="1"/>
    <col min="8" max="8" width="1.375" style="66" customWidth="1"/>
    <col min="9" max="9" width="18.375" style="66" customWidth="1"/>
    <col min="10" max="10" width="1.125" style="66" customWidth="1"/>
    <col min="11" max="11" width="13.75" style="66" customWidth="1"/>
    <col min="12" max="12" width="1.25" style="66" customWidth="1"/>
    <col min="13" max="13" width="17.75" style="66" customWidth="1"/>
    <col min="14" max="21" width="9.125" style="66"/>
    <col min="22" max="22" width="10.625" style="66" bestFit="1" customWidth="1"/>
    <col min="23" max="23" width="9.125" style="66"/>
    <col min="24" max="24" width="9.25" style="66" bestFit="1" customWidth="1"/>
    <col min="25" max="25" width="9.125" style="66"/>
    <col min="26" max="26" width="10.625" style="66" bestFit="1" customWidth="1"/>
    <col min="27" max="16384" width="9.125" style="66"/>
  </cols>
  <sheetData>
    <row r="1" spans="1:13" ht="26.25" customHeight="1" x14ac:dyDescent="0.45">
      <c r="A1" s="397" t="str">
        <f>تیتر!B7</f>
        <v>صندوق سرمایه گذاری املاک و مستغلات خانه آگاه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</row>
    <row r="2" spans="1:13" ht="26.25" customHeight="1" x14ac:dyDescent="0.45">
      <c r="A2" s="397" t="str">
        <f>تیتر!B8</f>
        <v xml:space="preserve">صورت وضعیت درآمدها 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1:13" ht="26.25" customHeight="1" x14ac:dyDescent="0.45">
      <c r="A3" s="397" t="str">
        <f>تیتر!B9</f>
        <v>برای ماه منتهی به 1405/05/31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1:13" ht="33.75" customHeight="1" x14ac:dyDescent="0.45"/>
    <row r="5" spans="1:13" s="67" customFormat="1" ht="27" customHeight="1" x14ac:dyDescent="0.45">
      <c r="A5" s="398" t="s">
        <v>87</v>
      </c>
      <c r="B5" s="399"/>
      <c r="C5" s="399"/>
      <c r="D5" s="399"/>
      <c r="E5" s="399"/>
      <c r="F5" s="399"/>
      <c r="G5" s="399"/>
      <c r="H5" s="399"/>
      <c r="I5" s="399"/>
      <c r="J5" s="399"/>
      <c r="K5" s="399"/>
      <c r="L5" s="399"/>
    </row>
    <row r="6" spans="1:13" x14ac:dyDescent="0.45">
      <c r="C6" s="400"/>
      <c r="D6" s="400"/>
      <c r="E6" s="400"/>
      <c r="F6" s="400"/>
      <c r="G6" s="400"/>
    </row>
    <row r="7" spans="1:13" ht="24.75" customHeight="1" thickBot="1" x14ac:dyDescent="0.5">
      <c r="A7" s="68"/>
      <c r="B7" s="67"/>
      <c r="C7" s="396" t="str">
        <f>تیتر!A11</f>
        <v>طی مرداد ماه</v>
      </c>
      <c r="D7" s="396"/>
      <c r="E7" s="396"/>
      <c r="F7" s="396"/>
      <c r="G7" s="396"/>
      <c r="I7" s="396" t="str">
        <f>تیتر!B11</f>
        <v>از ابتدای سال مالی تا پایان مرداد ماه 1405</v>
      </c>
      <c r="J7" s="396"/>
      <c r="K7" s="396"/>
      <c r="L7" s="396"/>
      <c r="M7" s="396"/>
    </row>
    <row r="8" spans="1:13" ht="30.75" customHeight="1" thickBot="1" x14ac:dyDescent="0.5">
      <c r="A8" s="69" t="s">
        <v>35</v>
      </c>
      <c r="B8" s="67"/>
      <c r="C8" s="72" t="s">
        <v>55</v>
      </c>
      <c r="D8" s="71"/>
      <c r="E8" s="72" t="s">
        <v>28</v>
      </c>
      <c r="F8" s="71"/>
      <c r="G8" s="70" t="s">
        <v>56</v>
      </c>
      <c r="I8" s="70" t="s">
        <v>55</v>
      </c>
      <c r="J8" s="71"/>
      <c r="K8" s="70" t="s">
        <v>28</v>
      </c>
      <c r="L8" s="71"/>
      <c r="M8" s="70" t="s">
        <v>56</v>
      </c>
    </row>
    <row r="9" spans="1:13" ht="22.5" customHeight="1" x14ac:dyDescent="0.45">
      <c r="A9" s="4"/>
      <c r="C9" s="3" t="s">
        <v>47</v>
      </c>
      <c r="D9" s="73"/>
      <c r="E9" s="3" t="s">
        <v>47</v>
      </c>
      <c r="F9" s="3"/>
      <c r="G9" s="3" t="s">
        <v>47</v>
      </c>
      <c r="H9" s="3"/>
      <c r="I9" s="3" t="s">
        <v>47</v>
      </c>
      <c r="J9" s="3"/>
      <c r="K9" s="3" t="s">
        <v>47</v>
      </c>
      <c r="L9" s="3"/>
      <c r="M9" s="3" t="s">
        <v>47</v>
      </c>
    </row>
    <row r="10" spans="1:13" ht="32.25" customHeight="1" x14ac:dyDescent="0.45">
      <c r="A10" s="263" t="s">
        <v>132</v>
      </c>
      <c r="C10" s="98">
        <v>16616</v>
      </c>
      <c r="D10" s="172"/>
      <c r="E10" s="98">
        <v>0</v>
      </c>
      <c r="F10" s="98"/>
      <c r="G10" s="98">
        <v>16616</v>
      </c>
      <c r="H10" s="98"/>
      <c r="I10" s="98">
        <v>1086381</v>
      </c>
      <c r="J10" s="98"/>
      <c r="K10" s="98">
        <v>0</v>
      </c>
      <c r="L10" s="98"/>
      <c r="M10" s="98">
        <f>I10+K10</f>
        <v>1086381</v>
      </c>
    </row>
    <row r="11" spans="1:13" ht="32.25" customHeight="1" x14ac:dyDescent="0.45">
      <c r="A11" s="101" t="s">
        <v>129</v>
      </c>
      <c r="C11" s="98">
        <v>1127396964</v>
      </c>
      <c r="D11" s="172"/>
      <c r="E11" s="98">
        <v>0</v>
      </c>
      <c r="F11" s="98"/>
      <c r="G11" s="98">
        <v>1127396964</v>
      </c>
      <c r="H11" s="98"/>
      <c r="I11" s="98">
        <v>5478860965</v>
      </c>
      <c r="J11" s="98"/>
      <c r="K11" s="98">
        <v>0</v>
      </c>
      <c r="L11" s="98"/>
      <c r="M11" s="98">
        <f>I11+K11</f>
        <v>5478860965</v>
      </c>
    </row>
    <row r="12" spans="1:13" ht="32.25" customHeight="1" x14ac:dyDescent="0.45">
      <c r="A12" s="263" t="s">
        <v>131</v>
      </c>
      <c r="C12" s="98">
        <v>4090542</v>
      </c>
      <c r="D12" s="172"/>
      <c r="E12" s="267">
        <v>0</v>
      </c>
      <c r="F12" s="172"/>
      <c r="G12" s="98">
        <v>4090542</v>
      </c>
      <c r="H12" s="3"/>
      <c r="I12" s="267">
        <v>5428819</v>
      </c>
      <c r="J12" s="3"/>
      <c r="K12" s="267">
        <v>0</v>
      </c>
      <c r="L12" s="3"/>
      <c r="M12" s="98">
        <f>I12+K12</f>
        <v>5428819</v>
      </c>
    </row>
    <row r="13" spans="1:13" ht="27" customHeight="1" thickBot="1" x14ac:dyDescent="0.5">
      <c r="C13" s="93">
        <f>SUM(C10:C12)</f>
        <v>1131504122</v>
      </c>
      <c r="D13" s="173"/>
      <c r="E13" s="93">
        <f>SUM(E10:E12)</f>
        <v>0</v>
      </c>
      <c r="F13" s="173"/>
      <c r="G13" s="93">
        <f>SUM(G10:G12)</f>
        <v>1131504122</v>
      </c>
      <c r="H13" s="3"/>
      <c r="I13" s="93">
        <f>SUM(I10:I12)</f>
        <v>5485376165</v>
      </c>
      <c r="J13" s="3"/>
      <c r="K13" s="93">
        <f>SUM(K10:K12)</f>
        <v>0</v>
      </c>
      <c r="L13" s="3"/>
      <c r="M13" s="93">
        <f>SUM(M10:M12)</f>
        <v>5485376165</v>
      </c>
    </row>
    <row r="14" spans="1:13" ht="19.5" thickTop="1" x14ac:dyDescent="0.45">
      <c r="H14" s="3"/>
      <c r="J14" s="3"/>
      <c r="L14" s="3"/>
    </row>
    <row r="15" spans="1:13" ht="18.75" hidden="1" x14ac:dyDescent="0.45">
      <c r="G15" s="66">
        <f>'درآمد سپرده بانکی '!C13</f>
        <v>1131504122</v>
      </c>
      <c r="H15" s="3"/>
      <c r="L15" s="3"/>
      <c r="M15" s="66">
        <f>'درآمد سپرده بانکی '!G13</f>
        <v>5485376165</v>
      </c>
    </row>
    <row r="16" spans="1:13" hidden="1" x14ac:dyDescent="0.45">
      <c r="E16" s="104"/>
      <c r="G16" s="212">
        <f>G13-G15</f>
        <v>0</v>
      </c>
      <c r="M16" s="212">
        <f>M13-M15</f>
        <v>0</v>
      </c>
    </row>
    <row r="17" hidden="1" x14ac:dyDescent="0.45"/>
    <row r="18" hidden="1" x14ac:dyDescent="0.45"/>
  </sheetData>
  <mergeCells count="7">
    <mergeCell ref="C7:G7"/>
    <mergeCell ref="I7:M7"/>
    <mergeCell ref="A1:M1"/>
    <mergeCell ref="A2:M2"/>
    <mergeCell ref="A3:M3"/>
    <mergeCell ref="A5:L5"/>
    <mergeCell ref="C6:G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25</vt:i4>
      </vt:variant>
    </vt:vector>
  </HeadingPairs>
  <TitlesOfParts>
    <vt:vector size="44" baseType="lpstr">
      <vt:lpstr>تیتر</vt:lpstr>
      <vt:lpstr>0</vt:lpstr>
      <vt:lpstr>سرمایه گذاری ها  </vt:lpstr>
      <vt:lpstr>سرمایه گذاری در املاک</vt:lpstr>
      <vt:lpstr>سرمایه گذاری در سهام (2)</vt:lpstr>
      <vt:lpstr>صندوق</vt:lpstr>
      <vt:lpstr>سپرده</vt:lpstr>
      <vt:lpstr>درآمدها</vt:lpstr>
      <vt:lpstr>درآمد سرمایه گذاری املاک</vt:lpstr>
      <vt:lpstr>درآمد فروش املاک</vt:lpstr>
      <vt:lpstr>درآمد سرمایه گذاری در سهام </vt:lpstr>
      <vt:lpstr>درآمد سود سهام</vt:lpstr>
      <vt:lpstr>درآمد سرمایه گذاری در صندوق</vt:lpstr>
      <vt:lpstr>درآمد سود صندوق</vt:lpstr>
      <vt:lpstr>درآمد سپرده بانکی </vt:lpstr>
      <vt:lpstr>سایر درآمد ها</vt:lpstr>
      <vt:lpstr>درآمد فروش سهام</vt:lpstr>
      <vt:lpstr>درآمد تغییر قیمت</vt:lpstr>
      <vt:lpstr>درآمد سپرده بانکی  (2)</vt:lpstr>
      <vt:lpstr>'درآمد تغییر قیمت'!Print_Area</vt:lpstr>
      <vt:lpstr>'درآمد سپرده بانکی '!Print_Area</vt:lpstr>
      <vt:lpstr>'درآمد سپرده بانکی  (2)'!Print_Area</vt:lpstr>
      <vt:lpstr>'درآمد سرمایه گذاری املاک'!Print_Area</vt:lpstr>
      <vt:lpstr>'درآمد سرمایه گذاری در سهام '!Print_Area</vt:lpstr>
      <vt:lpstr>'درآمد سرمایه گذاری در صندوق'!Print_Area</vt:lpstr>
      <vt:lpstr>'درآمد سود سهام'!Print_Area</vt:lpstr>
      <vt:lpstr>'درآمد سود صندوق'!Print_Area</vt:lpstr>
      <vt:lpstr>'درآمد فروش املاک'!Print_Area</vt:lpstr>
      <vt:lpstr>'درآمد فروش سهام'!Print_Area</vt:lpstr>
      <vt:lpstr>درآمدها!Print_Area</vt:lpstr>
      <vt:lpstr>'سایر درآمد ها'!Print_Area</vt:lpstr>
      <vt:lpstr>سپرده!Print_Area</vt:lpstr>
      <vt:lpstr>'سرمایه گذاری در املاک'!Print_Area</vt:lpstr>
      <vt:lpstr>'سرمایه گذاری در سهام (2)'!Print_Area</vt:lpstr>
      <vt:lpstr>'سرمایه گذاری ها  '!Print_Area</vt:lpstr>
      <vt:lpstr>صندوق!Print_Area</vt:lpstr>
      <vt:lpstr>'درآمد تغییر قیمت'!Print_Titles</vt:lpstr>
      <vt:lpstr>'درآمد سرمایه گذاری املاک'!Print_Titles</vt:lpstr>
      <vt:lpstr>'درآمد سرمایه گذاری در سهام '!Print_Titles</vt:lpstr>
      <vt:lpstr>'درآمد سود سهام'!Print_Titles</vt:lpstr>
      <vt:lpstr>'درآمد فروش املاک'!Print_Titles</vt:lpstr>
      <vt:lpstr>'درآمد فروش سهام'!Print_Titles</vt:lpstr>
      <vt:lpstr>'سرمایه گذاری در املاک'!Print_Titles</vt:lpstr>
      <vt:lpstr>'سرمایه گذاری در سهام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Alireza Soleymani Malekan</cp:lastModifiedBy>
  <cp:lastPrinted>2026-07-29T14:52:33Z</cp:lastPrinted>
  <dcterms:created xsi:type="dcterms:W3CDTF">2024-03-26T11:48:49Z</dcterms:created>
  <dcterms:modified xsi:type="dcterms:W3CDTF">2026-08-29T15:31:30Z</dcterms:modified>
</cp:coreProperties>
</file>