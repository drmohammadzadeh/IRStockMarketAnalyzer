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MutualFund\پرسنل نمونه\j.moradpour\صورت وضعیت پرتفوی\1405\04\املاک\"/>
    </mc:Choice>
  </mc:AlternateContent>
  <bookViews>
    <workbookView xWindow="0" yWindow="0" windowWidth="8085" windowHeight="9315" firstSheet="10" activeTab="18"/>
  </bookViews>
  <sheets>
    <sheet name="تیتر" sheetId="16" state="hidden" r:id="rId1"/>
    <sheet name="0" sheetId="1" r:id="rId2"/>
    <sheet name="سرمایه گذاری ها  " sheetId="19" r:id="rId3"/>
    <sheet name="سرمایه گذاری در املاک" sheetId="2" r:id="rId4"/>
    <sheet name="سرمایه گذاری در سهام (2)" sheetId="25" r:id="rId5"/>
    <sheet name="صندوق" sheetId="4" r:id="rId6"/>
    <sheet name="سپرده" sheetId="6" r:id="rId7"/>
    <sheet name="درآمدها" sheetId="8" r:id="rId8"/>
    <sheet name="درآمد سرمایه گذاری املاک" sheetId="26" r:id="rId9"/>
    <sheet name="درآمد فروش املاک" sheetId="27" state="hidden" r:id="rId10"/>
    <sheet name="درآمد سرمایه گذاری در سهام " sheetId="13" r:id="rId11"/>
    <sheet name="درآمد سود سهام" sheetId="9" state="hidden" r:id="rId12"/>
    <sheet name="درآمد سرمایه گذاری در صندوق" sheetId="14" r:id="rId13"/>
    <sheet name="درآمد سود صندوق" sheetId="28" state="hidden" r:id="rId14"/>
    <sheet name="درآمد سپرده بانکی " sheetId="15" r:id="rId15"/>
    <sheet name="سایر درآمد ها" sheetId="22" r:id="rId16"/>
    <sheet name="درآمد فروش سهام" sheetId="18" r:id="rId17"/>
    <sheet name="درآمد تغییر قیمت" sheetId="21" r:id="rId18"/>
    <sheet name="درآمد سپرده بانکی  (2)" sheetId="24" r:id="rId19"/>
  </sheets>
  <definedNames>
    <definedName name="_xlnm.Print_Area" localSheetId="17">'درآمد تغییر قیمت'!$A$1:$R$21</definedName>
    <definedName name="_xlnm.Print_Area" localSheetId="14">'درآمد سپرده بانکی '!$A$1:$I$14</definedName>
    <definedName name="_xlnm.Print_Area" localSheetId="18">'درآمد سپرده بانکی  (2)'!$A$1:$M$14</definedName>
    <definedName name="_xlnm.Print_Area" localSheetId="8">'درآمد سرمایه گذاری املاک'!$A$1:$S$16</definedName>
    <definedName name="_xlnm.Print_Area" localSheetId="10">'درآمد سرمایه گذاری در سهام '!$A$1:$V$20</definedName>
    <definedName name="_xlnm.Print_Area" localSheetId="12">'درآمد سرمایه گذاری در صندوق'!$A$1:$V$18</definedName>
    <definedName name="_xlnm.Print_Area" localSheetId="11">'درآمد سود سهام'!$A$1:$T$15</definedName>
    <definedName name="_xlnm.Print_Area" localSheetId="13">'درآمد سود صندوق'!$A$1:$L$11</definedName>
    <definedName name="_xlnm.Print_Area" localSheetId="9">'درآمد فروش املاک'!$A$1:$R$18</definedName>
    <definedName name="_xlnm.Print_Area" localSheetId="16">'درآمد فروش سهام'!$A$1:$Q$22</definedName>
    <definedName name="_xlnm.Print_Area" localSheetId="7">درآمدها!$A$1:$I$16</definedName>
    <definedName name="_xlnm.Print_Area" localSheetId="15">'سایر درآمد ها'!$A$1:$F$13</definedName>
    <definedName name="_xlnm.Print_Area" localSheetId="6">سپرده!$A$1:$L$15</definedName>
    <definedName name="_xlnm.Print_Area" localSheetId="3">'سرمایه گذاری در املاک'!$A$1:$AE$25</definedName>
    <definedName name="_xlnm.Print_Area" localSheetId="4">'سرمایه گذاری در سهام (2)'!$A$1:$Y$25</definedName>
    <definedName name="_xlnm.Print_Area" localSheetId="2">'سرمایه گذاری ها  '!$A$1:$J$14</definedName>
    <definedName name="_xlnm.Print_Area" localSheetId="5">صندوق!$A$1:$Z$17</definedName>
    <definedName name="_xlnm.Print_Titles" localSheetId="17">'درآمد تغییر قیمت'!$1:$8</definedName>
    <definedName name="_xlnm.Print_Titles" localSheetId="8">'درآمد سرمایه گذاری املاک'!$1:$9</definedName>
    <definedName name="_xlnm.Print_Titles" localSheetId="10">'درآمد سرمایه گذاری در سهام '!$1:$9</definedName>
    <definedName name="_xlnm.Print_Titles" localSheetId="11">'درآمد سود سهام'!$1:$9</definedName>
    <definedName name="_xlnm.Print_Titles" localSheetId="9">'درآمد فروش املاک'!$1:$8</definedName>
    <definedName name="_xlnm.Print_Titles" localSheetId="16">'درآمد فروش سهام'!$1:$8</definedName>
    <definedName name="_xlnm.Print_Titles" localSheetId="3">'سرمایه گذاری در املاک'!$1:$10</definedName>
    <definedName name="_xlnm.Print_Titles" localSheetId="4">'سرمایه گذاری در سهام (2)'!$1:$10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8" i="18" l="1"/>
  <c r="Q27" i="18"/>
  <c r="I28" i="18"/>
  <c r="I27" i="18"/>
  <c r="Q25" i="21"/>
  <c r="Q24" i="21"/>
  <c r="I25" i="21"/>
  <c r="I24" i="21"/>
  <c r="I14" i="18"/>
  <c r="I15" i="18"/>
  <c r="I16" i="18"/>
  <c r="I17" i="18"/>
  <c r="I18" i="18"/>
  <c r="G19" i="18"/>
  <c r="O17" i="13"/>
  <c r="M17" i="13"/>
  <c r="S17" i="13"/>
  <c r="Q17" i="13"/>
  <c r="AA13" i="25"/>
  <c r="AA14" i="25"/>
  <c r="AA15" i="25"/>
  <c r="AA16" i="25"/>
  <c r="AA17" i="25"/>
  <c r="AA18" i="25"/>
  <c r="AA12" i="25"/>
  <c r="A23" i="1"/>
  <c r="I17" i="13" l="1"/>
  <c r="E25" i="26"/>
  <c r="E26" i="26" s="1"/>
  <c r="S13" i="14"/>
  <c r="S14" i="14"/>
  <c r="S15" i="14"/>
  <c r="I13" i="14"/>
  <c r="I14" i="14"/>
  <c r="I15" i="14"/>
  <c r="Q11" i="21"/>
  <c r="Q12" i="21"/>
  <c r="Q13" i="21"/>
  <c r="Q14" i="21"/>
  <c r="Q20" i="21" s="1"/>
  <c r="Q15" i="21"/>
  <c r="Q16" i="21"/>
  <c r="Q17" i="21"/>
  <c r="Q18" i="21"/>
  <c r="Q19" i="21"/>
  <c r="E20" i="21"/>
  <c r="S10" i="14"/>
  <c r="Q13" i="9"/>
  <c r="Q12" i="9"/>
  <c r="Q11" i="9"/>
  <c r="Q10" i="9"/>
  <c r="O13" i="9"/>
  <c r="O12" i="9"/>
  <c r="O11" i="9"/>
  <c r="O10" i="9"/>
  <c r="I10" i="14"/>
  <c r="S16" i="14"/>
  <c r="E17" i="13"/>
  <c r="S11" i="13"/>
  <c r="S12" i="13"/>
  <c r="S13" i="13"/>
  <c r="S14" i="13"/>
  <c r="S15" i="13"/>
  <c r="S16" i="13"/>
  <c r="S10" i="13"/>
  <c r="I11" i="13"/>
  <c r="I12" i="13"/>
  <c r="I13" i="13"/>
  <c r="I14" i="13"/>
  <c r="I15" i="13"/>
  <c r="I16" i="13"/>
  <c r="I10" i="13"/>
  <c r="I20" i="6"/>
  <c r="C13" i="6"/>
  <c r="W16" i="4"/>
  <c r="U16" i="4"/>
  <c r="K16" i="4"/>
  <c r="E16" i="4"/>
  <c r="G16" i="4"/>
  <c r="O16" i="4"/>
  <c r="AA12" i="4" l="1"/>
  <c r="S10" i="21"/>
  <c r="G13" i="15" l="1"/>
  <c r="C13" i="15"/>
  <c r="M15" i="27"/>
  <c r="O15" i="27"/>
  <c r="Q15" i="27"/>
  <c r="I13" i="6"/>
  <c r="G15" i="27"/>
  <c r="E15" i="27"/>
  <c r="S18" i="21"/>
  <c r="S17" i="21"/>
  <c r="S19" i="21"/>
  <c r="S16" i="21"/>
  <c r="S12" i="21"/>
  <c r="S11" i="21"/>
  <c r="S13" i="21"/>
  <c r="I14" i="21"/>
  <c r="I15" i="21"/>
  <c r="I10" i="21"/>
  <c r="I12" i="21"/>
  <c r="I13" i="21"/>
  <c r="I17" i="21"/>
  <c r="I18" i="21"/>
  <c r="I19" i="21"/>
  <c r="I11" i="21"/>
  <c r="I16" i="21"/>
  <c r="I20" i="21" l="1"/>
  <c r="Q10" i="21" l="1"/>
  <c r="M19" i="18"/>
  <c r="M15" i="24"/>
  <c r="G15" i="24"/>
  <c r="I14" i="27"/>
  <c r="I13" i="27"/>
  <c r="E12" i="26"/>
  <c r="C12" i="26"/>
  <c r="E12" i="22"/>
  <c r="I15" i="27" l="1"/>
  <c r="I11" i="14"/>
  <c r="I12" i="14"/>
  <c r="E16" i="14"/>
  <c r="I22" i="21" s="1"/>
  <c r="I23" i="21" s="1"/>
  <c r="E19" i="8"/>
  <c r="Y13" i="2"/>
  <c r="Y14" i="2"/>
  <c r="Y15" i="2"/>
  <c r="Y16" i="2"/>
  <c r="Y17" i="2"/>
  <c r="Y18" i="2"/>
  <c r="Y19" i="2"/>
  <c r="Y20" i="2"/>
  <c r="Y12" i="2"/>
  <c r="E21" i="2"/>
  <c r="O21" i="2"/>
  <c r="K12" i="26" l="1"/>
  <c r="M12" i="26"/>
  <c r="O11" i="26"/>
  <c r="Q10" i="18"/>
  <c r="I10" i="18"/>
  <c r="Q11" i="18"/>
  <c r="Q12" i="18"/>
  <c r="Q13" i="18"/>
  <c r="Q14" i="18"/>
  <c r="Q15" i="18"/>
  <c r="Q16" i="18"/>
  <c r="Q17" i="18"/>
  <c r="Q18" i="18"/>
  <c r="I11" i="18"/>
  <c r="I12" i="18"/>
  <c r="I13" i="18"/>
  <c r="K6" i="28"/>
  <c r="I6" i="28"/>
  <c r="M10" i="24"/>
  <c r="M12" i="24"/>
  <c r="M11" i="24"/>
  <c r="C12" i="22"/>
  <c r="C17" i="13"/>
  <c r="G17" i="13"/>
  <c r="G13" i="6"/>
  <c r="E13" i="6"/>
  <c r="AA15" i="4"/>
  <c r="W19" i="25"/>
  <c r="U19" i="25"/>
  <c r="K19" i="25"/>
  <c r="G19" i="25"/>
  <c r="E19" i="25"/>
  <c r="Y14" i="25"/>
  <c r="Y15" i="25"/>
  <c r="Y16" i="25"/>
  <c r="Y17" i="25"/>
  <c r="Y18" i="25"/>
  <c r="Y12" i="25"/>
  <c r="A24" i="1"/>
  <c r="I19" i="18" l="1"/>
  <c r="E19" i="18"/>
  <c r="O19" i="18"/>
  <c r="Q19" i="18"/>
  <c r="G21" i="2"/>
  <c r="I16" i="14" l="1"/>
  <c r="G11" i="26"/>
  <c r="O10" i="26"/>
  <c r="K13" i="24"/>
  <c r="E13" i="24"/>
  <c r="I13" i="24"/>
  <c r="G11" i="24"/>
  <c r="G12" i="24"/>
  <c r="G10" i="24"/>
  <c r="G13" i="24" s="1"/>
  <c r="G16" i="24" s="1"/>
  <c r="C13" i="24"/>
  <c r="S11" i="9"/>
  <c r="S12" i="9"/>
  <c r="S13" i="9"/>
  <c r="S10" i="9"/>
  <c r="I10" i="15"/>
  <c r="S11" i="14"/>
  <c r="S12" i="14"/>
  <c r="O16" i="9"/>
  <c r="W21" i="2"/>
  <c r="U21" i="2"/>
  <c r="S21" i="2"/>
  <c r="K21" i="2"/>
  <c r="AA13" i="4"/>
  <c r="AA14" i="4"/>
  <c r="AA11" i="4"/>
  <c r="Y12" i="4"/>
  <c r="Y13" i="4"/>
  <c r="Y14" i="4"/>
  <c r="Y15" i="4"/>
  <c r="O12" i="26" l="1"/>
  <c r="J10" i="8" s="1"/>
  <c r="E10" i="15"/>
  <c r="E11" i="15"/>
  <c r="E12" i="15"/>
  <c r="I12" i="15"/>
  <c r="I11" i="15"/>
  <c r="S14" i="9"/>
  <c r="Y21" i="2"/>
  <c r="M20" i="21"/>
  <c r="O14" i="9"/>
  <c r="O17" i="9" s="1"/>
  <c r="Q14" i="9"/>
  <c r="I13" i="15" l="1"/>
  <c r="E13" i="15"/>
  <c r="K10" i="6"/>
  <c r="K11" i="6"/>
  <c r="K12" i="6"/>
  <c r="K13" i="6" l="1"/>
  <c r="M13" i="24"/>
  <c r="U25" i="4"/>
  <c r="E25" i="4"/>
  <c r="G28" i="2"/>
  <c r="W28" i="2"/>
  <c r="E21" i="14"/>
  <c r="Q20" i="27"/>
  <c r="M21" i="26"/>
  <c r="K21" i="26"/>
  <c r="M11" i="9"/>
  <c r="M12" i="9"/>
  <c r="M13" i="9"/>
  <c r="M10" i="9"/>
  <c r="M14" i="9" s="1"/>
  <c r="K14" i="9"/>
  <c r="I14" i="9"/>
  <c r="G10" i="26"/>
  <c r="G12" i="26" s="1"/>
  <c r="C21" i="26"/>
  <c r="E28" i="25"/>
  <c r="G29" i="25"/>
  <c r="U28" i="25"/>
  <c r="W29" i="25"/>
  <c r="Z21" i="2"/>
  <c r="Z19" i="2"/>
  <c r="AB17" i="2"/>
  <c r="G20" i="21" l="1"/>
  <c r="M17" i="26"/>
  <c r="K17" i="26"/>
  <c r="E17" i="26"/>
  <c r="G12" i="19"/>
  <c r="G17" i="19"/>
  <c r="I12" i="19" l="1"/>
  <c r="O20" i="21"/>
  <c r="C17" i="26"/>
  <c r="K15" i="26"/>
  <c r="M15" i="26"/>
  <c r="W20" i="4"/>
  <c r="G24" i="25"/>
  <c r="W26" i="2"/>
  <c r="G26" i="2"/>
  <c r="E17" i="19"/>
  <c r="O16" i="14"/>
  <c r="Q16" i="14"/>
  <c r="Q23" i="18" s="1"/>
  <c r="Q24" i="18" s="1"/>
  <c r="M16" i="14"/>
  <c r="M21" i="14" s="1"/>
  <c r="G16" i="14"/>
  <c r="C16" i="14"/>
  <c r="C19" i="14" s="1"/>
  <c r="O21" i="14" l="1"/>
  <c r="Q22" i="21"/>
  <c r="Q23" i="21" s="1"/>
  <c r="E19" i="14"/>
  <c r="K7" i="26"/>
  <c r="G20" i="4"/>
  <c r="W24" i="25"/>
  <c r="Y13" i="25"/>
  <c r="Y19" i="25" l="1"/>
  <c r="W25" i="25"/>
  <c r="G21" i="4" l="1"/>
  <c r="G26" i="4"/>
  <c r="G15" i="26"/>
  <c r="G21" i="26"/>
  <c r="G25" i="25" l="1"/>
  <c r="W21" i="4" l="1"/>
  <c r="W26" i="4"/>
  <c r="J14" i="8" l="1"/>
  <c r="J11" i="8" l="1"/>
  <c r="J15" i="8" l="1"/>
  <c r="Y11" i="4"/>
  <c r="Y16" i="4" s="1"/>
  <c r="C17" i="6"/>
  <c r="O19" i="25"/>
  <c r="K14" i="8" l="1"/>
  <c r="J19" i="8"/>
  <c r="K12" i="8"/>
  <c r="K13" i="8"/>
  <c r="K11" i="8"/>
  <c r="I17" i="6"/>
  <c r="I23" i="18" l="1"/>
  <c r="I24" i="18" s="1"/>
  <c r="J12" i="8" l="1"/>
  <c r="A2" i="22" l="1"/>
  <c r="A3" i="22"/>
  <c r="A1" i="22"/>
  <c r="A2" i="24"/>
  <c r="A3" i="24"/>
  <c r="A1" i="24"/>
  <c r="A2" i="15"/>
  <c r="A3" i="15"/>
  <c r="A1" i="15"/>
  <c r="A2" i="14"/>
  <c r="A3" i="14"/>
  <c r="A1" i="14"/>
  <c r="A2" i="18"/>
  <c r="A3" i="18"/>
  <c r="A1" i="18"/>
  <c r="A2" i="21"/>
  <c r="A3" i="21"/>
  <c r="A1" i="21"/>
  <c r="A2" i="9"/>
  <c r="A3" i="9"/>
  <c r="A1" i="9"/>
  <c r="A2" i="13"/>
  <c r="A3" i="13"/>
  <c r="A1" i="13"/>
  <c r="A2" i="26"/>
  <c r="A3" i="26"/>
  <c r="A1" i="26"/>
  <c r="A2" i="8"/>
  <c r="A3" i="8"/>
  <c r="A1" i="8"/>
  <c r="G10" i="19" l="1"/>
  <c r="N10" i="19" s="1"/>
  <c r="I10" i="19" l="1"/>
  <c r="G11" i="19"/>
  <c r="I11" i="19" l="1"/>
  <c r="N11" i="19"/>
  <c r="C7" i="14"/>
  <c r="E12" i="8" l="1"/>
  <c r="I12" i="8" s="1"/>
  <c r="M8" i="14"/>
  <c r="E9" i="19"/>
  <c r="K8" i="26" l="1"/>
  <c r="G9" i="19" l="1"/>
  <c r="G13" i="19" s="1"/>
  <c r="M9" i="19" l="1"/>
  <c r="I9" i="19"/>
  <c r="I13" i="19" s="1"/>
  <c r="E11" i="8"/>
  <c r="I11" i="8" l="1"/>
  <c r="E15" i="8"/>
  <c r="G10" i="8" s="1"/>
  <c r="E11" i="19"/>
  <c r="H18" i="19" l="1"/>
  <c r="C7" i="26" l="1"/>
  <c r="K7" i="27" l="1"/>
  <c r="C7" i="27"/>
  <c r="A3" i="27"/>
  <c r="A2" i="27"/>
  <c r="A1" i="27"/>
  <c r="E10" i="8" l="1"/>
  <c r="I10" i="8" s="1"/>
  <c r="J13" i="8" l="1"/>
  <c r="G16" i="15"/>
  <c r="M16" i="24"/>
  <c r="E10" i="19"/>
  <c r="Q8" i="25"/>
  <c r="C8" i="25"/>
  <c r="A3" i="25"/>
  <c r="A2" i="25"/>
  <c r="A1" i="25"/>
  <c r="U11" i="14" l="1"/>
  <c r="U13" i="14"/>
  <c r="U15" i="14"/>
  <c r="U12" i="14"/>
  <c r="U14" i="14"/>
  <c r="Q10" i="26"/>
  <c r="U12" i="13"/>
  <c r="U10" i="14"/>
  <c r="U13" i="13"/>
  <c r="U15" i="13"/>
  <c r="U10" i="13"/>
  <c r="U11" i="13"/>
  <c r="U14" i="13"/>
  <c r="U16" i="13"/>
  <c r="Q11" i="26"/>
  <c r="K10" i="8"/>
  <c r="G18" i="19"/>
  <c r="G8" i="15"/>
  <c r="U17" i="13" l="1"/>
  <c r="U16" i="14"/>
  <c r="Q12" i="26"/>
  <c r="E12" i="19"/>
  <c r="E13" i="19" s="1"/>
  <c r="E18" i="19" l="1"/>
  <c r="C16" i="15"/>
  <c r="E8" i="22" l="1"/>
  <c r="C8" i="22"/>
  <c r="I7" i="24"/>
  <c r="C7" i="24"/>
  <c r="K7" i="21"/>
  <c r="C7" i="21"/>
  <c r="G6" i="19"/>
  <c r="E6" i="19"/>
  <c r="E14" i="8" l="1"/>
  <c r="I14" i="8" s="1"/>
  <c r="A22" i="1" l="1"/>
  <c r="A1" i="19" s="1"/>
  <c r="G7" i="15"/>
  <c r="C7" i="15"/>
  <c r="O7" i="14"/>
  <c r="M7" i="13"/>
  <c r="C7" i="13"/>
  <c r="K7" i="18"/>
  <c r="C7" i="18"/>
  <c r="I7" i="9"/>
  <c r="O7" i="9"/>
  <c r="E8" i="8"/>
  <c r="I7" i="6"/>
  <c r="C7" i="6"/>
  <c r="Q7" i="4"/>
  <c r="C7" i="4"/>
  <c r="Q8" i="2"/>
  <c r="C8" i="2"/>
  <c r="A2" i="6"/>
  <c r="A3" i="6"/>
  <c r="A1" i="6"/>
  <c r="A2" i="4"/>
  <c r="A3" i="4"/>
  <c r="A1" i="4"/>
  <c r="A3" i="2"/>
  <c r="A2" i="2"/>
  <c r="A1" i="2"/>
  <c r="A3" i="19"/>
  <c r="E13" i="8" l="1"/>
  <c r="I13" i="8" l="1"/>
  <c r="I15" i="8" s="1"/>
  <c r="I11" i="26"/>
  <c r="K11" i="14" l="1"/>
  <c r="K15" i="14"/>
  <c r="K12" i="14"/>
  <c r="K13" i="14"/>
  <c r="K14" i="14"/>
  <c r="G13" i="8"/>
  <c r="K15" i="13"/>
  <c r="G12" i="8"/>
  <c r="K14" i="13"/>
  <c r="K16" i="13"/>
  <c r="K10" i="13"/>
  <c r="G11" i="8"/>
  <c r="G15" i="8" s="1"/>
  <c r="K11" i="13"/>
  <c r="K10" i="14"/>
  <c r="G14" i="8"/>
  <c r="K13" i="13"/>
  <c r="E20" i="8"/>
  <c r="K12" i="13"/>
  <c r="I10" i="26"/>
  <c r="I12" i="26" l="1"/>
  <c r="K17" i="13"/>
  <c r="K16" i="14"/>
</calcChain>
</file>

<file path=xl/sharedStrings.xml><?xml version="1.0" encoding="utf-8"?>
<sst xmlns="http://schemas.openxmlformats.org/spreadsheetml/2006/main" count="368" uniqueCount="160">
  <si>
    <t>‫تغییرات طی دوره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</si>
  <si>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</si>
  <si>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</si>
  <si>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</si>
  <si>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</si>
  <si>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</si>
  <si>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</si>
  <si>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</si>
  <si>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</si>
  <si>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</si>
  <si>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‫جمع</t>
  </si>
  <si>
    <t>‫نام سهام</t>
  </si>
  <si>
    <t>‫نام اوراق</t>
  </si>
  <si>
    <t>‫قیمت بازار هر ورقه</t>
  </si>
  <si>
    <t>‫افزایش</t>
  </si>
  <si>
    <t>‫کاهش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</si>
  <si>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</si>
  <si>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</si>
  <si>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</si>
  <si>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</si>
  <si>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</si>
  <si>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</si>
  <si>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‫سایر درآمدها</t>
  </si>
  <si>
    <t>‫اطلاعات مجمع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</si>
  <si>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</si>
  <si>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</si>
  <si>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</si>
  <si>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</si>
  <si>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</si>
  <si>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</si>
  <si>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‫ارزش دفتری</t>
  </si>
  <si>
    <t>‫ارزش دفتری برابر است با میانگین موزون خالص ارزش فروش هر سهم/ورقه در ابتدای دوره با خرید طی دوره ضربدر تعداد در پایان دوره</t>
  </si>
  <si>
    <t>‫سهام</t>
  </si>
  <si>
    <t>‫جمع مبلغ</t>
  </si>
  <si>
    <t>‫درصد از کل درآمد ها</t>
  </si>
  <si>
    <t>‫نام سپرده</t>
  </si>
  <si>
    <t>‫درصد سود به میانگین سپرده</t>
  </si>
  <si>
    <t>صورت وضعیت پرتفوی</t>
  </si>
  <si>
    <t xml:space="preserve">1- سرمایه گذاری ها </t>
  </si>
  <si>
    <t>نسبت  به کل دارایی ها</t>
  </si>
  <si>
    <t>شرح</t>
  </si>
  <si>
    <t>یادداشت</t>
  </si>
  <si>
    <t xml:space="preserve">ریال </t>
  </si>
  <si>
    <t>درصد</t>
  </si>
  <si>
    <t>1-1</t>
  </si>
  <si>
    <t>1-2</t>
  </si>
  <si>
    <t>1-3</t>
  </si>
  <si>
    <t>ریال</t>
  </si>
  <si>
    <t>سرمایه گذاری در سهام و حق تقدم سهام</t>
  </si>
  <si>
    <t>2-1</t>
  </si>
  <si>
    <t>2-2</t>
  </si>
  <si>
    <t>2-3</t>
  </si>
  <si>
    <t>2-4</t>
  </si>
  <si>
    <t>‫سود ( زیان) ناشی از تغییر قیمت</t>
  </si>
  <si>
    <t>‫سود (زیان) ناشی از فروش</t>
  </si>
  <si>
    <t>‫درآمد سود</t>
  </si>
  <si>
    <t>‫خالص درآمد</t>
  </si>
  <si>
    <t>مبلغ-ریال</t>
  </si>
  <si>
    <t>درصد به کل دارایی ها</t>
  </si>
  <si>
    <t>‫مبلغ- ریال</t>
  </si>
  <si>
    <t>نام اوراق</t>
  </si>
  <si>
    <t>صندوق سرمایه گذاری املاک و مستغلات خانه آگاه</t>
  </si>
  <si>
    <t>توسعه و عمران امید</t>
  </si>
  <si>
    <t>بهساز کاشانه تهران</t>
  </si>
  <si>
    <t>تعديل کارمزدکارگزاری</t>
  </si>
  <si>
    <t xml:space="preserve">‫درآمد حاصل از سرمایه گذاری در سپرده بانکی </t>
  </si>
  <si>
    <t>سرمایه گذاری در صندوق های سرمایه گذاری با درآمد ثابت</t>
  </si>
  <si>
    <t>‫درآمد حاصل از سرمایه گذاری در صندوق های سرمایه گذاری با درآمد ثابت</t>
  </si>
  <si>
    <t>سرمایه‌ گذاری‌ ساختمان‌ایران‌</t>
  </si>
  <si>
    <t>بین‌المللی‌توسعه‌ساختمان</t>
  </si>
  <si>
    <t>1-4</t>
  </si>
  <si>
    <t>سرمایه گذاری در واحد های املاک</t>
  </si>
  <si>
    <t xml:space="preserve"> سرمایه گذاری در  سپرده بانکی و گواهی سپرده</t>
  </si>
  <si>
    <t>‫1-1- سرمایه گذاری در واحد های املاک و مستغلات</t>
  </si>
  <si>
    <t>عمران‌وتوسعه‌فارس‌</t>
  </si>
  <si>
    <t>‫درآمد حاصل از سرمایه گذاری در املاک و مستغلات</t>
  </si>
  <si>
    <t>2-5</t>
  </si>
  <si>
    <t>درآمد فروش
2-1-2</t>
  </si>
  <si>
    <t>‫2-2- درآمد حاصل از سرمایه گذاری در سهام و حق تقدم سهام:</t>
  </si>
  <si>
    <t>‫درآمد سود سهام
2-2-1</t>
  </si>
  <si>
    <t>درآمد (هزینه) تغییر ارزش
2-2-2</t>
  </si>
  <si>
    <t>درآمد فروش
2-2-3</t>
  </si>
  <si>
    <t>2-2-1‫درآمد سود سهام</t>
  </si>
  <si>
    <t>‫2-2-2درآمد ناشی از تغییر قیمت سهام و حق تقدم</t>
  </si>
  <si>
    <t>2-2-3‫سود(زیان) حاصل از فروش سهام و حق تقدم سهام</t>
  </si>
  <si>
    <t>‫2-3- درآمد حاصل از سرمایه گذاری در صندوق های سرمایه گذاری</t>
  </si>
  <si>
    <t>‫2-4- درآمد حاصل از سرمایه گذاری در سپرده بانکی و گواهی سپرده:</t>
  </si>
  <si>
    <t>‫سود سپرده بانکی و گواهی سپرده
2-4-1</t>
  </si>
  <si>
    <t>‫2-4-1- درآمد حاصل از سرمایه گذاری در سپرده بانکی و گواهی سپرده:</t>
  </si>
  <si>
    <t>‫2-5- سایر درآمدها:</t>
  </si>
  <si>
    <t>‫2-1- درآمد حاصل از سرمایه گذاری در املاک و مستغلات:</t>
  </si>
  <si>
    <t xml:space="preserve">2-1-2‫سود(زیان) حاصل از فروش املاک و مستغلات </t>
  </si>
  <si>
    <t>تعدیل سود سهام</t>
  </si>
  <si>
    <t>‫سود (زیان) ناخالص ناشی از فروش</t>
  </si>
  <si>
    <t>‫1-2- سرمایه گذاری در سهام و حق تقدم سهام</t>
  </si>
  <si>
    <t>‫1-3- سرمایه گذاری درصندوق های سرمایه گذاری</t>
  </si>
  <si>
    <t>‫1-4- سرمایه گذاری در  سپرده های بانکی</t>
  </si>
  <si>
    <t>آپارتمان مجتمع سعادت آباد به شماره سند 003339</t>
  </si>
  <si>
    <t>آپارتمان مجتمع سعادت آیاد به شماره سند 003338</t>
  </si>
  <si>
    <t>آپارتمان مجتمع سعادت آیاد به شماره سند 003340</t>
  </si>
  <si>
    <t>آپارتمان مجتمع سعادت آیاد به شماره سند 003337</t>
  </si>
  <si>
    <t>آپارتمان مجتمع سعادت آیاد به شماره سند 003341</t>
  </si>
  <si>
    <t>صندوق س.درآمد ثابت کارآمد-د</t>
  </si>
  <si>
    <t>واحد 2133برج تهران</t>
  </si>
  <si>
    <t>درآمد اجاره
2-1-1</t>
  </si>
  <si>
    <t>مجتمع نونهالان</t>
  </si>
  <si>
    <t>-</t>
  </si>
  <si>
    <t>سرمایه گذاری مسکن شمال شرق</t>
  </si>
  <si>
    <t>درآمد سود صندوق
2-3-1</t>
  </si>
  <si>
    <t>درآمد  (هزینه) تغییر ارزش
2-3-2</t>
  </si>
  <si>
    <t>درآمد فروش
2-3-3</t>
  </si>
  <si>
    <t>مجتمع اداری سعادت آباد</t>
  </si>
  <si>
    <t xml:space="preserve">انباشته </t>
  </si>
  <si>
    <t xml:space="preserve">صورت وضعیت درآمدها </t>
  </si>
  <si>
    <t>صندوق س افرا نماد پایدار-ثابت</t>
  </si>
  <si>
    <t>مجتمع رازان</t>
  </si>
  <si>
    <t>1404/09/30</t>
  </si>
  <si>
    <t>سرمایه گذاری مسکن پردیس</t>
  </si>
  <si>
    <t>ص.س.املاک و مستغلات مالک آتیه</t>
  </si>
  <si>
    <t>1404/09/12</t>
  </si>
  <si>
    <t>صندوق ص.س.املاک و مستغلات مالک آتیه</t>
  </si>
  <si>
    <t>مجتمع زرگنده</t>
  </si>
  <si>
    <t>1404/10/10</t>
  </si>
  <si>
    <t xml:space="preserve">مجتمع نگین نور </t>
  </si>
  <si>
    <t>ملک پلور</t>
  </si>
  <si>
    <t>ملک محوی</t>
  </si>
  <si>
    <t>ملک بلوار 24 متری</t>
  </si>
  <si>
    <t>1405/01/31</t>
  </si>
  <si>
    <t>بانک پاسارگاد</t>
  </si>
  <si>
    <t>بانک خاورمیانه</t>
  </si>
  <si>
    <t>بانک صادرات</t>
  </si>
  <si>
    <t>صندوق س. لبخند فارابی-د</t>
  </si>
  <si>
    <t>پاسارگاد</t>
  </si>
  <si>
    <t>صادرات</t>
  </si>
  <si>
    <t>خاورمیانه</t>
  </si>
  <si>
    <t xml:space="preserve">صادرات </t>
  </si>
  <si>
    <t>برای ماه منتهی به 1405/03/31</t>
  </si>
  <si>
    <t>ملک متل قو *</t>
  </si>
  <si>
    <t>صورت وضعیت درآمدها</t>
  </si>
  <si>
    <t>نام صندوق</t>
  </si>
  <si>
    <t>تاریخ تقسیم سود</t>
  </si>
  <si>
    <t>تعداد واحد صندوق در زمان تقسیم سود</t>
  </si>
  <si>
    <t>سود متعلق به هر واحد</t>
  </si>
  <si>
    <t>خالص درآمد سود صندوق</t>
  </si>
  <si>
    <t>صندوق املاک و مستغلات مالک آتیه (مالک آتیه1)</t>
  </si>
  <si>
    <t>1405/03/16</t>
  </si>
  <si>
    <t xml:space="preserve">  2-3-1 درآمد سود صندوق </t>
  </si>
  <si>
    <t>جـــمـــع</t>
  </si>
  <si>
    <t>* تغییرات ریالی ناشی از مخارج مستقیم انجام شده مرتبط با بهای تمام شده پروژه می باشد.</t>
  </si>
  <si>
    <t>‫بهای فروش</t>
  </si>
  <si>
    <t>برای ماه منتهی به 1405/04/31</t>
  </si>
  <si>
    <t>1404/03/31</t>
  </si>
  <si>
    <t>1405/04/31</t>
  </si>
  <si>
    <t>طی تیر ماه</t>
  </si>
  <si>
    <t>از ابتدای سال مالی تا پایان تیر ماه 1405</t>
  </si>
  <si>
    <t>‫قیمت بازار هر ملک</t>
  </si>
  <si>
    <t>صندوق س. با درآمد ثابت کیان</t>
  </si>
  <si>
    <t>صندوق املاک ومستغلات ارزش مسکن (ارزش مسکن1)</t>
  </si>
  <si>
    <t>کارمزد و مالیات معاملات</t>
  </si>
  <si>
    <t>صورت وضعیت پورتفوی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</si>
</sst>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 * #,##0.00_-_ ;_ * #,##0.00\-_ ;_ * &quot;-&quot;??_-_ ;_ @_ "/>
    <numFmt numFmtId="164" formatCode="_(* #,##0.00_);_(* \(#,##0.00\);_(* &quot;-&quot;??_);_(@_)"/>
    <numFmt numFmtId="165" formatCode="#,##0_-;\(#,##0\)"/>
    <numFmt numFmtId="166" formatCode="_ * #,##0.00_)_ر_ي_ا_ل_ ;_ * \(#,##0.00\)_ر_ي_ا_ل_ ;_ * &quot;-&quot;??_)_ر_ي_ا_ل_ ;_ @_ "/>
    <numFmt numFmtId="167" formatCode="_ * #,##0_-_ر_ي_ا_ل_ ;_ * #,##0\-_ر_ي_ا_ل_ ;_ * &quot;-&quot;??_-_ر_ي_ا_ل_ ;_ @_ "/>
    <numFmt numFmtId="168" formatCode="_(* #,##0_);_(* \(#,##0\);_(* &quot;-&quot;??_);_(@_)"/>
    <numFmt numFmtId="169" formatCode="#,##0_ ;\-#,##0\ "/>
    <numFmt numFmtId="170" formatCode="#,##0.00_-;\(#,##0.00\)"/>
    <numFmt numFmtId="171" formatCode="0.00000000"/>
    <numFmt numFmtId="172" formatCode="_ * #,##0_-_ ;_ * #,##0\-_ ;_ * &quot;-&quot;??_-_ ;_ @_ "/>
    <numFmt numFmtId="173" formatCode="0.0000000"/>
    <numFmt numFmtId="174" formatCode="#,##0_ ;\(#,##0\)"/>
    <numFmt numFmtId="175" formatCode="#,##0;\(#,##0\)"/>
    <numFmt numFmtId="176" formatCode="#,##0.00;\(#,##0.00\)"/>
    <numFmt numFmtId="177" formatCode="#,##0.00_ ;\(#,##0.00\)"/>
    <numFmt numFmtId="178" formatCode="_ * #,##0.000_-_ر_ي_ا_ل_ ;_ * #,##0.000\-_ر_ي_ا_ل_ ;_ * &quot;-&quot;??_-_ر_ي_ا_ل_ ;_ @_ "/>
  </numFmts>
  <fonts count="41" x14ac:knownFonts="1">
    <font>
      <sz val="11"/>
      <color indexed="8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2"/>
      <name val="B Nazanin"/>
      <charset val="178"/>
    </font>
    <font>
      <b/>
      <u/>
      <sz val="18"/>
      <name val="B Nazanin"/>
      <charset val="178"/>
    </font>
    <font>
      <b/>
      <u/>
      <sz val="18"/>
      <name val="B Nazanin"/>
      <charset val="178"/>
    </font>
    <font>
      <b/>
      <sz val="12"/>
      <name val="B Nazanin"/>
      <charset val="178"/>
    </font>
    <font>
      <sz val="11"/>
      <color indexed="8"/>
      <name val="Arial"/>
      <family val="2"/>
      <scheme val="minor"/>
    </font>
    <font>
      <sz val="11"/>
      <name val="Calibri"/>
      <family val="2"/>
    </font>
    <font>
      <sz val="11"/>
      <color indexed="8"/>
      <name val="B Nazanin"/>
      <charset val="178"/>
    </font>
    <font>
      <sz val="12"/>
      <name val="B Nazanin"/>
      <charset val="178"/>
    </font>
    <font>
      <b/>
      <sz val="12"/>
      <name val="B Nazanin"/>
      <charset val="178"/>
    </font>
    <font>
      <b/>
      <sz val="16"/>
      <color theme="1"/>
      <name val="B Nazanin"/>
      <charset val="178"/>
    </font>
    <font>
      <b/>
      <sz val="12"/>
      <color theme="1"/>
      <name val="B Nazanin"/>
      <charset val="178"/>
    </font>
    <font>
      <sz val="11"/>
      <color theme="1"/>
      <name val="B Nazanin"/>
      <charset val="178"/>
    </font>
    <font>
      <b/>
      <sz val="14"/>
      <color theme="1"/>
      <name val="B Nazanin"/>
      <charset val="178"/>
    </font>
    <font>
      <b/>
      <sz val="12"/>
      <color rgb="FF0062AC"/>
      <name val="B Nazanin"/>
      <charset val="178"/>
    </font>
    <font>
      <sz val="12"/>
      <color theme="1"/>
      <name val="B Nazanin"/>
      <charset val="178"/>
    </font>
    <font>
      <sz val="11"/>
      <color indexed="8"/>
      <name val="B Nazanin"/>
      <charset val="178"/>
    </font>
    <font>
      <b/>
      <sz val="11"/>
      <color theme="1"/>
      <name val="B Nazanin"/>
      <charset val="178"/>
    </font>
    <font>
      <b/>
      <sz val="10"/>
      <color theme="1"/>
      <name val="B Nazanin"/>
      <charset val="178"/>
    </font>
    <font>
      <sz val="10"/>
      <color theme="1"/>
      <name val="B Nazanin"/>
      <charset val="178"/>
    </font>
    <font>
      <b/>
      <u/>
      <sz val="16"/>
      <name val="B Nazanin"/>
      <charset val="178"/>
    </font>
    <font>
      <sz val="11"/>
      <name val="B Nazanin"/>
      <charset val="178"/>
    </font>
    <font>
      <b/>
      <sz val="14"/>
      <color indexed="8"/>
      <name val="B Nazanin"/>
      <charset val="178"/>
    </font>
    <font>
      <sz val="14"/>
      <color indexed="8"/>
      <name val="B Nazanin"/>
      <charset val="178"/>
    </font>
    <font>
      <b/>
      <sz val="14"/>
      <name val="B Nazanin"/>
      <charset val="178"/>
    </font>
    <font>
      <sz val="12"/>
      <color indexed="8"/>
      <name val="B Nazanin"/>
      <charset val="178"/>
    </font>
    <font>
      <b/>
      <sz val="11"/>
      <color rgb="FF000000"/>
      <name val="B Nazanin"/>
      <charset val="178"/>
    </font>
    <font>
      <b/>
      <sz val="11"/>
      <name val="B Nazanin"/>
      <charset val="178"/>
    </font>
    <font>
      <sz val="8"/>
      <name val="Arial"/>
      <family val="2"/>
      <scheme val="minor"/>
    </font>
    <font>
      <sz val="12"/>
      <color rgb="FF000000"/>
      <name val="B Nazanin"/>
      <charset val="178"/>
    </font>
    <font>
      <b/>
      <sz val="11"/>
      <color indexed="8"/>
      <name val="B Nazanin"/>
      <charset val="178"/>
    </font>
    <font>
      <b/>
      <sz val="12"/>
      <color indexed="8"/>
      <name val="B Nazanin"/>
      <charset val="178"/>
    </font>
    <font>
      <sz val="11"/>
      <color rgb="FF000000"/>
      <name val="B Nazanin"/>
      <charset val="178"/>
    </font>
    <font>
      <sz val="10"/>
      <color rgb="FF000000"/>
      <name val="B Nazanin"/>
      <charset val="178"/>
    </font>
    <font>
      <sz val="11"/>
      <color rgb="FF9C0006"/>
      <name val="Arial"/>
      <family val="2"/>
      <charset val="178"/>
      <scheme val="minor"/>
    </font>
    <font>
      <sz val="14"/>
      <name val="B Nazanin"/>
      <charset val="178"/>
    </font>
    <font>
      <sz val="14"/>
      <color indexed="8"/>
      <name val="Arial"/>
      <family val="2"/>
      <scheme val="minor"/>
    </font>
    <font>
      <sz val="10"/>
      <color rgb="FF000000"/>
      <name val="Arial"/>
      <family val="2"/>
    </font>
    <font>
      <b/>
      <sz val="15"/>
      <color rgb="FF000000"/>
      <name val="B Nazanin"/>
      <charset val="178"/>
    </font>
    <font>
      <b/>
      <sz val="12"/>
      <color rgb="FF000000"/>
      <name val="B Nazanin"/>
      <charset val="178"/>
    </font>
  </fonts>
  <fills count="7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FFFF00"/>
        <bgColor indexed="64"/>
      </patternFill>
    </fill>
    <fill>
      <patternFill patternType="darkDown"/>
    </fill>
    <fill>
      <patternFill patternType="darkUp"/>
    </fill>
    <fill>
      <patternFill patternType="solid">
        <fgColor rgb="FFFFC7CE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7">
    <xf numFmtId="0" fontId="0" fillId="0" borderId="0"/>
    <xf numFmtId="0" fontId="6" fillId="2" borderId="0"/>
    <xf numFmtId="0" fontId="1" fillId="2" borderId="0"/>
    <xf numFmtId="166" fontId="7" fillId="2" borderId="0" applyFont="0" applyFill="0" applyBorder="0" applyAlignment="0" applyProtection="0"/>
    <xf numFmtId="164" fontId="1" fillId="2" borderId="0" applyFont="0" applyFill="0" applyBorder="0" applyAlignment="0" applyProtection="0"/>
    <xf numFmtId="9" fontId="1" fillId="2" borderId="0" applyFont="0" applyFill="0" applyBorder="0" applyAlignment="0" applyProtection="0"/>
    <xf numFmtId="164" fontId="1" fillId="2" borderId="0" applyFont="0" applyFill="0" applyBorder="0" applyAlignment="0" applyProtection="0"/>
    <xf numFmtId="0" fontId="6" fillId="2" borderId="0"/>
    <xf numFmtId="0" fontId="6" fillId="2" borderId="0"/>
    <xf numFmtId="0" fontId="6" fillId="2" borderId="0"/>
    <xf numFmtId="0" fontId="6" fillId="2" borderId="0"/>
    <xf numFmtId="43" fontId="6" fillId="0" borderId="0" applyFont="0" applyFill="0" applyBorder="0" applyAlignment="0" applyProtection="0"/>
    <xf numFmtId="0" fontId="7" fillId="2" borderId="0"/>
    <xf numFmtId="0" fontId="6" fillId="2" borderId="0"/>
    <xf numFmtId="0" fontId="7" fillId="2" borderId="0"/>
    <xf numFmtId="0" fontId="35" fillId="6" borderId="0" applyNumberFormat="0" applyBorder="0" applyAlignment="0" applyProtection="0"/>
    <xf numFmtId="0" fontId="38" fillId="2" borderId="0"/>
  </cellStyleXfs>
  <cellXfs count="402">
    <xf numFmtId="0" fontId="0" fillId="0" borderId="0" xfId="0"/>
    <xf numFmtId="0" fontId="8" fillId="0" borderId="0" xfId="1" applyFont="1" applyFill="1" applyAlignment="1">
      <alignment horizontal="center" vertical="center"/>
    </xf>
    <xf numFmtId="0" fontId="8" fillId="0" borderId="0" xfId="1" applyFont="1" applyFill="1" applyAlignment="1">
      <alignment horizontal="center"/>
    </xf>
    <xf numFmtId="37" fontId="9" fillId="0" borderId="0" xfId="0" applyNumberFormat="1" applyFont="1" applyAlignment="1">
      <alignment horizontal="center" vertical="center"/>
    </xf>
    <xf numFmtId="37" fontId="9" fillId="0" borderId="0" xfId="0" applyNumberFormat="1" applyFont="1" applyAlignment="1">
      <alignment horizontal="center" vertical="center" wrapText="1"/>
    </xf>
    <xf numFmtId="37" fontId="10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7" fontId="9" fillId="0" borderId="3" xfId="0" applyNumberFormat="1" applyFont="1" applyBorder="1" applyAlignment="1">
      <alignment horizontal="center" vertical="center"/>
    </xf>
    <xf numFmtId="0" fontId="12" fillId="2" borderId="0" xfId="2" applyFont="1" applyAlignment="1">
      <alignment horizontal="center" vertical="center"/>
    </xf>
    <xf numFmtId="0" fontId="13" fillId="2" borderId="0" xfId="2" applyFont="1"/>
    <xf numFmtId="0" fontId="11" fillId="2" borderId="0" xfId="2" applyFont="1" applyAlignment="1">
      <alignment horizontal="center" vertical="center"/>
    </xf>
    <xf numFmtId="0" fontId="15" fillId="2" borderId="0" xfId="2" applyFont="1" applyAlignment="1">
      <alignment vertical="center" readingOrder="2"/>
    </xf>
    <xf numFmtId="0" fontId="15" fillId="2" borderId="0" xfId="2" applyFont="1" applyAlignment="1">
      <alignment horizontal="right" vertical="center" readingOrder="2"/>
    </xf>
    <xf numFmtId="0" fontId="12" fillId="2" borderId="0" xfId="2" applyFont="1" applyAlignment="1">
      <alignment horizontal="center" vertical="center" wrapText="1"/>
    </xf>
    <xf numFmtId="0" fontId="12" fillId="2" borderId="8" xfId="2" applyFont="1" applyBorder="1" applyAlignment="1">
      <alignment horizontal="center" vertical="center"/>
    </xf>
    <xf numFmtId="0" fontId="16" fillId="2" borderId="0" xfId="2" applyFont="1" applyAlignment="1">
      <alignment horizontal="center" vertical="center"/>
    </xf>
    <xf numFmtId="0" fontId="13" fillId="2" borderId="0" xfId="2" applyFont="1" applyAlignment="1">
      <alignment horizontal="center"/>
    </xf>
    <xf numFmtId="0" fontId="13" fillId="2" borderId="0" xfId="2" applyFont="1" applyAlignment="1">
      <alignment horizontal="center" vertical="center"/>
    </xf>
    <xf numFmtId="167" fontId="13" fillId="2" borderId="0" xfId="3" applyNumberFormat="1" applyFont="1" applyBorder="1" applyAlignment="1">
      <alignment horizontal="center" vertical="center"/>
    </xf>
    <xf numFmtId="0" fontId="13" fillId="2" borderId="0" xfId="2" applyFont="1" applyAlignment="1">
      <alignment horizontal="center" vertical="center" wrapText="1"/>
    </xf>
    <xf numFmtId="0" fontId="12" fillId="2" borderId="0" xfId="2" applyFont="1" applyAlignment="1">
      <alignment horizontal="right" vertical="center" shrinkToFit="1" readingOrder="2"/>
    </xf>
    <xf numFmtId="49" fontId="16" fillId="2" borderId="0" xfId="2" applyNumberFormat="1" applyFont="1" applyAlignment="1">
      <alignment horizontal="center" vertical="center" shrinkToFit="1" readingOrder="2"/>
    </xf>
    <xf numFmtId="37" fontId="16" fillId="0" borderId="0" xfId="3" applyNumberFormat="1" applyFont="1" applyFill="1" applyAlignment="1">
      <alignment horizontal="center" vertical="center" shrinkToFit="1" readingOrder="2"/>
    </xf>
    <xf numFmtId="0" fontId="18" fillId="2" borderId="0" xfId="2" applyFont="1" applyAlignment="1">
      <alignment horizontal="center" vertical="center"/>
    </xf>
    <xf numFmtId="4" fontId="18" fillId="0" borderId="0" xfId="5" applyNumberFormat="1" applyFont="1" applyFill="1" applyAlignment="1">
      <alignment horizontal="center" vertical="center" readingOrder="2"/>
    </xf>
    <xf numFmtId="0" fontId="15" fillId="2" borderId="0" xfId="2" applyFont="1" applyAlignment="1">
      <alignment vertical="center" shrinkToFit="1" readingOrder="2"/>
    </xf>
    <xf numFmtId="168" fontId="18" fillId="0" borderId="0" xfId="4" applyNumberFormat="1" applyFont="1" applyFill="1" applyAlignment="1">
      <alignment horizontal="center" vertical="center" readingOrder="2"/>
    </xf>
    <xf numFmtId="168" fontId="19" fillId="2" borderId="0" xfId="4" applyNumberFormat="1" applyFont="1" applyAlignment="1">
      <alignment horizontal="center" vertical="center" readingOrder="2"/>
    </xf>
    <xf numFmtId="37" fontId="16" fillId="2" borderId="0" xfId="3" applyNumberFormat="1" applyFont="1" applyFill="1" applyAlignment="1">
      <alignment horizontal="center" vertical="center" shrinkToFit="1" readingOrder="2"/>
    </xf>
    <xf numFmtId="169" fontId="16" fillId="2" borderId="0" xfId="3" applyNumberFormat="1" applyFont="1" applyFill="1" applyAlignment="1">
      <alignment horizontal="center" vertical="center" shrinkToFit="1" readingOrder="2"/>
    </xf>
    <xf numFmtId="3" fontId="13" fillId="2" borderId="0" xfId="2" applyNumberFormat="1" applyFont="1"/>
    <xf numFmtId="0" fontId="16" fillId="2" borderId="0" xfId="2" applyFont="1" applyAlignment="1">
      <alignment horizontal="right" vertical="center" shrinkToFit="1" readingOrder="2"/>
    </xf>
    <xf numFmtId="37" fontId="12" fillId="0" borderId="9" xfId="3" applyNumberFormat="1" applyFont="1" applyFill="1" applyBorder="1" applyAlignment="1">
      <alignment horizontal="center" vertical="center" shrinkToFit="1" readingOrder="2"/>
    </xf>
    <xf numFmtId="37" fontId="16" fillId="0" borderId="0" xfId="4" applyNumberFormat="1" applyFont="1" applyFill="1" applyAlignment="1">
      <alignment horizontal="center" vertical="center" shrinkToFit="1"/>
    </xf>
    <xf numFmtId="4" fontId="18" fillId="0" borderId="9" xfId="5" applyNumberFormat="1" applyFont="1" applyFill="1" applyBorder="1" applyAlignment="1">
      <alignment horizontal="center" vertical="center" readingOrder="2"/>
    </xf>
    <xf numFmtId="0" fontId="16" fillId="2" borderId="0" xfId="2" applyFont="1" applyAlignment="1">
      <alignment horizontal="right" vertical="center" shrinkToFit="1"/>
    </xf>
    <xf numFmtId="0" fontId="16" fillId="2" borderId="0" xfId="2" applyFont="1" applyAlignment="1">
      <alignment shrinkToFit="1"/>
    </xf>
    <xf numFmtId="167" fontId="13" fillId="2" borderId="0" xfId="3" applyNumberFormat="1" applyFont="1"/>
    <xf numFmtId="168" fontId="18" fillId="0" borderId="0" xfId="4" applyNumberFormat="1" applyFont="1" applyFill="1" applyBorder="1" applyAlignment="1">
      <alignment horizontal="center" vertical="center" readingOrder="2"/>
    </xf>
    <xf numFmtId="0" fontId="13" fillId="2" borderId="0" xfId="2" applyFont="1" applyAlignment="1">
      <alignment horizontal="right" vertical="center"/>
    </xf>
    <xf numFmtId="168" fontId="19" fillId="2" borderId="0" xfId="6" applyNumberFormat="1" applyFont="1" applyFill="1" applyBorder="1" applyAlignment="1">
      <alignment horizontal="center" vertical="center" readingOrder="2"/>
    </xf>
    <xf numFmtId="168" fontId="13" fillId="2" borderId="0" xfId="2" applyNumberFormat="1" applyFont="1"/>
    <xf numFmtId="37" fontId="16" fillId="2" borderId="0" xfId="4" applyNumberFormat="1" applyFont="1" applyFill="1" applyAlignment="1">
      <alignment horizontal="center" vertical="center" shrinkToFit="1" readingOrder="2"/>
    </xf>
    <xf numFmtId="37" fontId="13" fillId="2" borderId="0" xfId="2" applyNumberFormat="1" applyFont="1"/>
    <xf numFmtId="167" fontId="20" fillId="2" borderId="0" xfId="3" applyNumberFormat="1" applyFont="1"/>
    <xf numFmtId="0" fontId="17" fillId="0" borderId="0" xfId="0" applyFont="1"/>
    <xf numFmtId="0" fontId="17" fillId="2" borderId="0" xfId="0" applyFont="1" applyFill="1"/>
    <xf numFmtId="37" fontId="10" fillId="0" borderId="0" xfId="0" applyNumberFormat="1" applyFont="1" applyAlignment="1">
      <alignment horizontal="center" vertical="center"/>
    </xf>
    <xf numFmtId="37" fontId="17" fillId="0" borderId="0" xfId="0" applyNumberFormat="1" applyFont="1"/>
    <xf numFmtId="37" fontId="9" fillId="0" borderId="4" xfId="0" applyNumberFormat="1" applyFont="1" applyBorder="1" applyAlignment="1">
      <alignment horizontal="center" vertical="center"/>
    </xf>
    <xf numFmtId="173" fontId="17" fillId="0" borderId="0" xfId="0" applyNumberFormat="1" applyFont="1"/>
    <xf numFmtId="171" fontId="17" fillId="0" borderId="0" xfId="0" applyNumberFormat="1" applyFont="1"/>
    <xf numFmtId="37" fontId="10" fillId="0" borderId="1" xfId="0" applyNumberFormat="1" applyFont="1" applyBorder="1" applyAlignment="1">
      <alignment horizontal="center" vertical="center" wrapText="1"/>
    </xf>
    <xf numFmtId="37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3" fontId="17" fillId="0" borderId="0" xfId="0" applyNumberFormat="1" applyFont="1"/>
    <xf numFmtId="0" fontId="24" fillId="0" borderId="0" xfId="0" applyFont="1"/>
    <xf numFmtId="37" fontId="10" fillId="0" borderId="0" xfId="0" applyNumberFormat="1" applyFont="1" applyAlignment="1">
      <alignment horizontal="center" vertical="center" wrapText="1"/>
    </xf>
    <xf numFmtId="165" fontId="9" fillId="0" borderId="7" xfId="0" applyNumberFormat="1" applyFont="1" applyBorder="1" applyAlignment="1">
      <alignment horizontal="center" vertical="center"/>
    </xf>
    <xf numFmtId="165" fontId="17" fillId="0" borderId="0" xfId="0" applyNumberFormat="1" applyFont="1"/>
    <xf numFmtId="170" fontId="9" fillId="0" borderId="7" xfId="0" applyNumberFormat="1" applyFont="1" applyBorder="1" applyAlignment="1">
      <alignment horizontal="center" vertical="center"/>
    </xf>
    <xf numFmtId="0" fontId="17" fillId="0" borderId="0" xfId="7" applyFont="1" applyFill="1"/>
    <xf numFmtId="37" fontId="10" fillId="0" borderId="0" xfId="7" applyNumberFormat="1" applyFont="1" applyFill="1" applyAlignment="1">
      <alignment horizontal="center" vertical="center"/>
    </xf>
    <xf numFmtId="37" fontId="10" fillId="0" borderId="1" xfId="7" applyNumberFormat="1" applyFont="1" applyFill="1" applyBorder="1" applyAlignment="1">
      <alignment horizontal="center" vertical="center" wrapText="1"/>
    </xf>
    <xf numFmtId="37" fontId="9" fillId="0" borderId="0" xfId="7" applyNumberFormat="1" applyFont="1" applyFill="1" applyAlignment="1">
      <alignment horizontal="center" vertical="center"/>
    </xf>
    <xf numFmtId="37" fontId="17" fillId="0" borderId="0" xfId="0" applyNumberFormat="1" applyFont="1" applyAlignment="1">
      <alignment horizontal="center" vertical="center" wrapText="1"/>
    </xf>
    <xf numFmtId="0" fontId="17" fillId="2" borderId="0" xfId="10" applyFont="1"/>
    <xf numFmtId="0" fontId="17" fillId="0" borderId="0" xfId="10" applyFont="1" applyFill="1"/>
    <xf numFmtId="37" fontId="10" fillId="0" borderId="0" xfId="10" applyNumberFormat="1" applyFont="1" applyFill="1" applyAlignment="1">
      <alignment vertical="center"/>
    </xf>
    <xf numFmtId="37" fontId="10" fillId="0" borderId="8" xfId="10" applyNumberFormat="1" applyFont="1" applyFill="1" applyBorder="1" applyAlignment="1">
      <alignment horizontal="center" vertical="center" wrapText="1"/>
    </xf>
    <xf numFmtId="0" fontId="27" fillId="0" borderId="8" xfId="10" applyFont="1" applyFill="1" applyBorder="1" applyAlignment="1">
      <alignment horizontal="center" vertical="center" wrapText="1"/>
    </xf>
    <xf numFmtId="0" fontId="27" fillId="0" borderId="0" xfId="10" applyFont="1" applyFill="1" applyAlignment="1">
      <alignment horizontal="center" vertical="center" wrapText="1"/>
    </xf>
    <xf numFmtId="0" fontId="27" fillId="0" borderId="10" xfId="10" applyFont="1" applyFill="1" applyBorder="1" applyAlignment="1">
      <alignment horizontal="center" vertical="center" wrapText="1"/>
    </xf>
    <xf numFmtId="37" fontId="9" fillId="2" borderId="0" xfId="10" applyNumberFormat="1" applyFont="1" applyAlignment="1">
      <alignment horizontal="center" vertical="center"/>
    </xf>
    <xf numFmtId="0" fontId="17" fillId="2" borderId="0" xfId="8" applyFont="1"/>
    <xf numFmtId="0" fontId="24" fillId="2" borderId="0" xfId="8" applyFont="1"/>
    <xf numFmtId="37" fontId="10" fillId="2" borderId="8" xfId="8" applyNumberFormat="1" applyFont="1" applyBorder="1" applyAlignment="1">
      <alignment horizontal="center" vertical="center"/>
    </xf>
    <xf numFmtId="37" fontId="28" fillId="2" borderId="8" xfId="8" applyNumberFormat="1" applyFont="1" applyBorder="1" applyAlignment="1">
      <alignment horizontal="center" vertical="center" wrapText="1"/>
    </xf>
    <xf numFmtId="37" fontId="22" fillId="2" borderId="0" xfId="8" applyNumberFormat="1" applyFont="1" applyAlignment="1">
      <alignment horizontal="center" vertical="center" wrapText="1"/>
    </xf>
    <xf numFmtId="0" fontId="17" fillId="2" borderId="0" xfId="8" applyFont="1" applyAlignment="1">
      <alignment vertical="center"/>
    </xf>
    <xf numFmtId="165" fontId="9" fillId="0" borderId="0" xfId="8" applyNumberFormat="1" applyFont="1" applyFill="1" applyAlignment="1">
      <alignment horizontal="center" vertical="center"/>
    </xf>
    <xf numFmtId="3" fontId="17" fillId="2" borderId="0" xfId="8" applyNumberFormat="1" applyFont="1" applyAlignment="1">
      <alignment vertical="center"/>
    </xf>
    <xf numFmtId="3" fontId="17" fillId="2" borderId="0" xfId="8" applyNumberFormat="1" applyFont="1"/>
    <xf numFmtId="3" fontId="9" fillId="0" borderId="0" xfId="0" applyNumberFormat="1" applyFont="1" applyAlignment="1">
      <alignment vertical="center" shrinkToFit="1"/>
    </xf>
    <xf numFmtId="3" fontId="26" fillId="0" borderId="0" xfId="0" applyNumberFormat="1" applyFont="1" applyAlignment="1">
      <alignment vertical="center" shrinkToFit="1"/>
    </xf>
    <xf numFmtId="175" fontId="9" fillId="0" borderId="0" xfId="0" applyNumberFormat="1" applyFont="1" applyAlignment="1">
      <alignment horizontal="center" vertical="center" shrinkToFit="1"/>
    </xf>
    <xf numFmtId="175" fontId="17" fillId="0" borderId="0" xfId="0" applyNumberFormat="1" applyFont="1" applyAlignment="1">
      <alignment shrinkToFit="1"/>
    </xf>
    <xf numFmtId="175" fontId="9" fillId="0" borderId="3" xfId="0" applyNumberFormat="1" applyFont="1" applyBorder="1" applyAlignment="1">
      <alignment horizontal="center" vertical="center" shrinkToFit="1"/>
    </xf>
    <xf numFmtId="176" fontId="9" fillId="0" borderId="0" xfId="0" applyNumberFormat="1" applyFont="1" applyAlignment="1">
      <alignment horizontal="center" vertical="center" shrinkToFit="1"/>
    </xf>
    <xf numFmtId="176" fontId="17" fillId="0" borderId="0" xfId="0" applyNumberFormat="1" applyFont="1" applyAlignment="1">
      <alignment shrinkToFit="1"/>
    </xf>
    <xf numFmtId="175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5" fontId="17" fillId="0" borderId="0" xfId="0" applyNumberFormat="1" applyFont="1"/>
    <xf numFmtId="175" fontId="9" fillId="0" borderId="7" xfId="0" applyNumberFormat="1" applyFont="1" applyBorder="1" applyAlignment="1">
      <alignment horizontal="center" vertical="center"/>
    </xf>
    <xf numFmtId="176" fontId="17" fillId="0" borderId="0" xfId="0" applyNumberFormat="1" applyFont="1"/>
    <xf numFmtId="176" fontId="10" fillId="0" borderId="1" xfId="0" applyNumberFormat="1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/>
    </xf>
    <xf numFmtId="174" fontId="9" fillId="0" borderId="3" xfId="0" applyNumberFormat="1" applyFont="1" applyBorder="1" applyAlignment="1">
      <alignment horizontal="center" vertical="center"/>
    </xf>
    <xf numFmtId="174" fontId="9" fillId="0" borderId="0" xfId="0" applyNumberFormat="1" applyFont="1" applyAlignment="1">
      <alignment horizontal="center" vertical="center"/>
    </xf>
    <xf numFmtId="174" fontId="17" fillId="0" borderId="0" xfId="0" applyNumberFormat="1" applyFont="1"/>
    <xf numFmtId="174" fontId="9" fillId="0" borderId="7" xfId="0" applyNumberFormat="1" applyFont="1" applyBorder="1" applyAlignment="1">
      <alignment horizontal="center" vertical="center"/>
    </xf>
    <xf numFmtId="37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8" applyFont="1" applyFill="1" applyAlignment="1">
      <alignment vertical="center"/>
    </xf>
    <xf numFmtId="3" fontId="17" fillId="2" borderId="0" xfId="10" applyNumberFormat="1" applyFont="1"/>
    <xf numFmtId="4" fontId="17" fillId="0" borderId="0" xfId="0" applyNumberFormat="1" applyFont="1" applyAlignment="1">
      <alignment horizontal="center"/>
    </xf>
    <xf numFmtId="37" fontId="2" fillId="0" borderId="0" xfId="0" applyNumberFormat="1" applyFont="1" applyAlignment="1">
      <alignment horizontal="center" vertical="center"/>
    </xf>
    <xf numFmtId="39" fontId="9" fillId="0" borderId="3" xfId="0" applyNumberFormat="1" applyFont="1" applyBorder="1" applyAlignment="1">
      <alignment horizontal="center" vertical="center"/>
    </xf>
    <xf numFmtId="37" fontId="5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4" fontId="9" fillId="3" borderId="0" xfId="0" applyNumberFormat="1" applyFont="1" applyFill="1" applyAlignment="1">
      <alignment horizontal="center" vertical="center"/>
    </xf>
    <xf numFmtId="37" fontId="8" fillId="0" borderId="0" xfId="0" applyNumberFormat="1" applyFont="1" applyAlignment="1">
      <alignment horizontal="center" vertical="center" wrapText="1"/>
    </xf>
    <xf numFmtId="37" fontId="2" fillId="0" borderId="1" xfId="0" applyNumberFormat="1" applyFont="1" applyBorder="1" applyAlignment="1">
      <alignment horizontal="center" vertical="center" wrapText="1"/>
    </xf>
    <xf numFmtId="174" fontId="17" fillId="0" borderId="0" xfId="0" applyNumberFormat="1" applyFont="1" applyAlignment="1">
      <alignment horizontal="center" vertical="center"/>
    </xf>
    <xf numFmtId="37" fontId="9" fillId="0" borderId="0" xfId="0" applyNumberFormat="1" applyFont="1" applyAlignment="1">
      <alignment horizontal="center" vertical="center" shrinkToFit="1"/>
    </xf>
    <xf numFmtId="37" fontId="5" fillId="0" borderId="1" xfId="0" applyNumberFormat="1" applyFont="1" applyBorder="1" applyAlignment="1">
      <alignment horizontal="center" vertical="center" wrapText="1"/>
    </xf>
    <xf numFmtId="37" fontId="2" fillId="0" borderId="0" xfId="0" applyNumberFormat="1" applyFont="1" applyAlignment="1">
      <alignment horizontal="right" vertical="center"/>
    </xf>
    <xf numFmtId="174" fontId="9" fillId="0" borderId="0" xfId="8" applyNumberFormat="1" applyFont="1" applyFill="1" applyAlignment="1">
      <alignment horizontal="center" vertical="center"/>
    </xf>
    <xf numFmtId="174" fontId="17" fillId="2" borderId="0" xfId="8" applyNumberFormat="1" applyFont="1" applyAlignment="1">
      <alignment vertical="center"/>
    </xf>
    <xf numFmtId="174" fontId="9" fillId="2" borderId="7" xfId="8" applyNumberFormat="1" applyFont="1" applyBorder="1" applyAlignment="1">
      <alignment horizontal="center" vertical="center"/>
    </xf>
    <xf numFmtId="174" fontId="17" fillId="2" borderId="0" xfId="8" applyNumberFormat="1" applyFont="1"/>
    <xf numFmtId="174" fontId="9" fillId="2" borderId="4" xfId="8" applyNumberFormat="1" applyFont="1" applyBorder="1" applyAlignment="1">
      <alignment horizontal="center" vertical="center"/>
    </xf>
    <xf numFmtId="3" fontId="17" fillId="0" borderId="0" xfId="7" applyNumberFormat="1" applyFont="1" applyFill="1"/>
    <xf numFmtId="0" fontId="8" fillId="0" borderId="0" xfId="2" applyFont="1" applyFill="1" applyAlignment="1">
      <alignment horizontal="right" vertical="center" shrinkToFit="1" readingOrder="2"/>
    </xf>
    <xf numFmtId="0" fontId="17" fillId="0" borderId="0" xfId="2" applyFont="1" applyFill="1" applyAlignment="1">
      <alignment horizontal="right" vertical="center" shrinkToFit="1" readingOrder="2"/>
    </xf>
    <xf numFmtId="0" fontId="13" fillId="0" borderId="0" xfId="2" applyFont="1" applyFill="1"/>
    <xf numFmtId="178" fontId="13" fillId="2" borderId="0" xfId="2" applyNumberFormat="1" applyFont="1"/>
    <xf numFmtId="37" fontId="10" fillId="0" borderId="11" xfId="0" applyNumberFormat="1" applyFont="1" applyBorder="1" applyAlignment="1">
      <alignment horizontal="center" vertical="center"/>
    </xf>
    <xf numFmtId="37" fontId="25" fillId="0" borderId="0" xfId="0" applyNumberFormat="1" applyFont="1" applyAlignment="1">
      <alignment horizontal="right" vertical="center"/>
    </xf>
    <xf numFmtId="37" fontId="2" fillId="0" borderId="3" xfId="0" applyNumberFormat="1" applyFont="1" applyBorder="1" applyAlignment="1">
      <alignment horizontal="center" vertical="center"/>
    </xf>
    <xf numFmtId="0" fontId="23" fillId="0" borderId="0" xfId="0" applyFont="1"/>
    <xf numFmtId="0" fontId="26" fillId="0" borderId="0" xfId="0" applyFont="1"/>
    <xf numFmtId="0" fontId="2" fillId="0" borderId="0" xfId="0" applyFont="1" applyAlignment="1">
      <alignment horizontal="center" vertical="center"/>
    </xf>
    <xf numFmtId="37" fontId="2" fillId="0" borderId="1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31" fillId="0" borderId="0" xfId="0" applyFont="1"/>
    <xf numFmtId="0" fontId="5" fillId="0" borderId="0" xfId="0" applyFont="1" applyAlignment="1">
      <alignment horizontal="center" vertical="center"/>
    </xf>
    <xf numFmtId="37" fontId="5" fillId="0" borderId="1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37" fontId="28" fillId="0" borderId="0" xfId="0" applyNumberFormat="1" applyFont="1" applyAlignment="1">
      <alignment horizontal="center" vertical="center"/>
    </xf>
    <xf numFmtId="0" fontId="32" fillId="0" borderId="0" xfId="0" applyFont="1"/>
    <xf numFmtId="39" fontId="9" fillId="0" borderId="0" xfId="0" applyNumberFormat="1" applyFont="1" applyAlignment="1">
      <alignment horizontal="center" vertical="center"/>
    </xf>
    <xf numFmtId="0" fontId="24" fillId="0" borderId="0" xfId="0" applyFont="1" applyAlignment="1">
      <alignment readingOrder="1"/>
    </xf>
    <xf numFmtId="37" fontId="26" fillId="0" borderId="0" xfId="0" applyNumberFormat="1" applyFont="1" applyAlignment="1">
      <alignment horizontal="center" vertical="center" wrapText="1"/>
    </xf>
    <xf numFmtId="174" fontId="26" fillId="0" borderId="0" xfId="0" applyNumberFormat="1" applyFont="1"/>
    <xf numFmtId="174" fontId="26" fillId="0" borderId="0" xfId="0" applyNumberFormat="1" applyFont="1" applyAlignment="1">
      <alignment horizontal="center" vertical="center" wrapText="1"/>
    </xf>
    <xf numFmtId="174" fontId="2" fillId="0" borderId="7" xfId="0" applyNumberFormat="1" applyFont="1" applyBorder="1" applyAlignment="1">
      <alignment horizontal="center" vertical="center"/>
    </xf>
    <xf numFmtId="174" fontId="2" fillId="0" borderId="0" xfId="0" applyNumberFormat="1" applyFont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37" fontId="26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0" fillId="0" borderId="0" xfId="0" applyAlignment="1">
      <alignment horizontal="left"/>
    </xf>
    <xf numFmtId="37" fontId="2" fillId="0" borderId="0" xfId="0" applyNumberFormat="1" applyFont="1" applyAlignment="1">
      <alignment horizontal="right" vertical="center" wrapText="1" shrinkToFi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0" fillId="2" borderId="0" xfId="0" applyFont="1" applyFill="1" applyAlignment="1">
      <alignment horizontal="right" vertical="top"/>
    </xf>
    <xf numFmtId="0" fontId="17" fillId="0" borderId="11" xfId="0" applyFont="1" applyBorder="1"/>
    <xf numFmtId="174" fontId="0" fillId="0" borderId="0" xfId="0" applyNumberFormat="1" applyAlignment="1">
      <alignment horizontal="center" vertical="center"/>
    </xf>
    <xf numFmtId="175" fontId="30" fillId="2" borderId="0" xfId="0" applyNumberFormat="1" applyFont="1" applyFill="1" applyAlignment="1">
      <alignment horizontal="right" vertical="center"/>
    </xf>
    <xf numFmtId="0" fontId="33" fillId="2" borderId="0" xfId="0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 shrinkToFit="1"/>
    </xf>
    <xf numFmtId="174" fontId="9" fillId="0" borderId="0" xfId="0" applyNumberFormat="1" applyFont="1" applyAlignment="1">
      <alignment horizontal="center" vertical="center" shrinkToFit="1"/>
    </xf>
    <xf numFmtId="174" fontId="17" fillId="0" borderId="0" xfId="0" applyNumberFormat="1" applyFont="1" applyAlignment="1">
      <alignment shrinkToFit="1"/>
    </xf>
    <xf numFmtId="174" fontId="9" fillId="0" borderId="7" xfId="0" applyNumberFormat="1" applyFont="1" applyBorder="1" applyAlignment="1">
      <alignment horizontal="center" vertical="center" shrinkToFit="1"/>
    </xf>
    <xf numFmtId="174" fontId="22" fillId="0" borderId="0" xfId="0" applyNumberFormat="1" applyFont="1" applyAlignment="1">
      <alignment horizontal="right" vertical="center" shrinkToFit="1"/>
    </xf>
    <xf numFmtId="177" fontId="9" fillId="0" borderId="0" xfId="0" applyNumberFormat="1" applyFont="1" applyAlignment="1">
      <alignment horizontal="center" vertical="center" shrinkToFit="1"/>
    </xf>
    <xf numFmtId="177" fontId="9" fillId="0" borderId="7" xfId="0" applyNumberFormat="1" applyFont="1" applyBorder="1" applyAlignment="1">
      <alignment horizontal="center" vertical="center" shrinkToFit="1"/>
    </xf>
    <xf numFmtId="3" fontId="30" fillId="2" borderId="0" xfId="0" applyNumberFormat="1" applyFont="1" applyFill="1" applyAlignment="1">
      <alignment horizontal="center" vertical="top"/>
    </xf>
    <xf numFmtId="175" fontId="30" fillId="2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3" fontId="30" fillId="2" borderId="0" xfId="0" applyNumberFormat="1" applyFont="1" applyFill="1" applyAlignment="1">
      <alignment horizontal="center" vertical="center"/>
    </xf>
    <xf numFmtId="174" fontId="30" fillId="2" borderId="0" xfId="0" applyNumberFormat="1" applyFont="1" applyFill="1" applyAlignment="1">
      <alignment horizontal="center" vertical="center"/>
    </xf>
    <xf numFmtId="175" fontId="17" fillId="0" borderId="0" xfId="0" applyNumberFormat="1" applyFont="1" applyAlignment="1">
      <alignment vertical="center"/>
    </xf>
    <xf numFmtId="175" fontId="17" fillId="2" borderId="0" xfId="10" applyNumberFormat="1" applyFont="1" applyAlignment="1">
      <alignment vertical="center"/>
    </xf>
    <xf numFmtId="174" fontId="17" fillId="0" borderId="0" xfId="7" applyNumberFormat="1" applyFont="1" applyFill="1"/>
    <xf numFmtId="3" fontId="2" fillId="0" borderId="0" xfId="0" applyNumberFormat="1" applyFont="1" applyAlignment="1">
      <alignment horizontal="center" vertical="center" shrinkToFit="1"/>
    </xf>
    <xf numFmtId="177" fontId="26" fillId="0" borderId="0" xfId="0" applyNumberFormat="1" applyFont="1" applyAlignment="1">
      <alignment horizontal="center" vertical="center" wrapText="1"/>
    </xf>
    <xf numFmtId="177" fontId="2" fillId="0" borderId="7" xfId="0" applyNumberFormat="1" applyFont="1" applyBorder="1" applyAlignment="1">
      <alignment horizontal="center" vertical="center"/>
    </xf>
    <xf numFmtId="37" fontId="21" fillId="2" borderId="0" xfId="8" applyNumberFormat="1" applyFont="1" applyAlignment="1">
      <alignment horizontal="center" vertical="center"/>
    </xf>
    <xf numFmtId="0" fontId="26" fillId="0" borderId="0" xfId="0" applyFont="1" applyAlignment="1">
      <alignment vertical="center"/>
    </xf>
    <xf numFmtId="3" fontId="2" fillId="4" borderId="7" xfId="0" applyNumberFormat="1" applyFont="1" applyFill="1" applyBorder="1" applyAlignment="1">
      <alignment horizontal="right" vertical="center" shrinkToFit="1"/>
    </xf>
    <xf numFmtId="3" fontId="9" fillId="4" borderId="7" xfId="0" applyNumberFormat="1" applyFont="1" applyFill="1" applyBorder="1" applyAlignment="1">
      <alignment vertical="center" shrinkToFit="1"/>
    </xf>
    <xf numFmtId="174" fontId="30" fillId="2" borderId="7" xfId="0" applyNumberFormat="1" applyFont="1" applyFill="1" applyBorder="1" applyAlignment="1">
      <alignment horizontal="center" vertical="center"/>
    </xf>
    <xf numFmtId="0" fontId="17" fillId="0" borderId="16" xfId="0" applyFont="1" applyBorder="1"/>
    <xf numFmtId="175" fontId="30" fillId="5" borderId="7" xfId="0" applyNumberFormat="1" applyFont="1" applyFill="1" applyBorder="1" applyAlignment="1">
      <alignment horizontal="right" vertical="center"/>
    </xf>
    <xf numFmtId="37" fontId="2" fillId="0" borderId="0" xfId="0" applyNumberFormat="1" applyFont="1" applyAlignment="1">
      <alignment horizontal="center" vertical="center" shrinkToFit="1"/>
    </xf>
    <xf numFmtId="174" fontId="2" fillId="0" borderId="0" xfId="0" applyNumberFormat="1" applyFont="1" applyAlignment="1">
      <alignment horizontal="center" vertical="center" shrinkToFit="1"/>
    </xf>
    <xf numFmtId="0" fontId="17" fillId="0" borderId="0" xfId="0" applyFont="1" applyAlignment="1">
      <alignment horizontal="center"/>
    </xf>
    <xf numFmtId="4" fontId="2" fillId="0" borderId="0" xfId="0" applyNumberFormat="1" applyFont="1" applyAlignment="1">
      <alignment horizontal="center" vertical="center" shrinkToFit="1"/>
    </xf>
    <xf numFmtId="4" fontId="2" fillId="0" borderId="7" xfId="0" applyNumberFormat="1" applyFont="1" applyBorder="1" applyAlignment="1">
      <alignment horizontal="center" vertical="center" shrinkToFit="1"/>
    </xf>
    <xf numFmtId="0" fontId="8" fillId="0" borderId="0" xfId="0" applyFont="1"/>
    <xf numFmtId="175" fontId="17" fillId="0" borderId="7" xfId="0" applyNumberFormat="1" applyFont="1" applyBorder="1" applyAlignment="1">
      <alignment horizontal="center"/>
    </xf>
    <xf numFmtId="3" fontId="8" fillId="0" borderId="0" xfId="0" applyNumberFormat="1" applyFont="1"/>
    <xf numFmtId="0" fontId="26" fillId="0" borderId="0" xfId="0" applyFont="1" applyAlignment="1">
      <alignment horizontal="right" vertical="center" wrapText="1" shrinkToFit="1"/>
    </xf>
    <xf numFmtId="0" fontId="17" fillId="2" borderId="16" xfId="0" applyFont="1" applyFill="1" applyBorder="1"/>
    <xf numFmtId="37" fontId="26" fillId="0" borderId="16" xfId="0" applyNumberFormat="1" applyFont="1" applyBorder="1" applyAlignment="1">
      <alignment horizontal="center" vertical="center" wrapText="1"/>
    </xf>
    <xf numFmtId="37" fontId="26" fillId="0" borderId="11" xfId="0" applyNumberFormat="1" applyFont="1" applyBorder="1" applyAlignment="1">
      <alignment horizontal="center" vertical="center" wrapText="1"/>
    </xf>
    <xf numFmtId="0" fontId="34" fillId="2" borderId="0" xfId="0" applyFont="1" applyFill="1" applyAlignment="1">
      <alignment vertical="center" wrapText="1"/>
    </xf>
    <xf numFmtId="175" fontId="0" fillId="0" borderId="0" xfId="0" applyNumberFormat="1" applyAlignment="1">
      <alignment horizontal="center" vertical="center"/>
    </xf>
    <xf numFmtId="0" fontId="30" fillId="2" borderId="0" xfId="0" applyFont="1" applyFill="1" applyAlignment="1">
      <alignment horizontal="right" vertical="center"/>
    </xf>
    <xf numFmtId="175" fontId="2" fillId="0" borderId="0" xfId="0" applyNumberFormat="1" applyFont="1" applyAlignment="1">
      <alignment horizontal="center" vertical="center" shrinkToFit="1"/>
    </xf>
    <xf numFmtId="175" fontId="17" fillId="0" borderId="0" xfId="0" applyNumberFormat="1" applyFont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174" fontId="9" fillId="0" borderId="0" xfId="0" applyNumberFormat="1" applyFont="1" applyAlignment="1">
      <alignment vertical="center"/>
    </xf>
    <xf numFmtId="174" fontId="0" fillId="0" borderId="0" xfId="0" applyNumberFormat="1" applyAlignment="1">
      <alignment vertical="center"/>
    </xf>
    <xf numFmtId="174" fontId="30" fillId="4" borderId="7" xfId="0" applyNumberFormat="1" applyFont="1" applyFill="1" applyBorder="1" applyAlignment="1">
      <alignment vertical="center"/>
    </xf>
    <xf numFmtId="174" fontId="30" fillId="2" borderId="7" xfId="0" applyNumberFormat="1" applyFont="1" applyFill="1" applyBorder="1" applyAlignment="1">
      <alignment vertical="center"/>
    </xf>
    <xf numFmtId="37" fontId="5" fillId="0" borderId="16" xfId="0" applyNumberFormat="1" applyFont="1" applyBorder="1" applyAlignment="1">
      <alignment horizontal="center" vertical="center" wrapText="1"/>
    </xf>
    <xf numFmtId="37" fontId="10" fillId="0" borderId="16" xfId="0" applyNumberFormat="1" applyFont="1" applyBorder="1" applyAlignment="1">
      <alignment horizontal="center" vertical="center"/>
    </xf>
    <xf numFmtId="37" fontId="10" fillId="0" borderId="16" xfId="0" applyNumberFormat="1" applyFont="1" applyBorder="1" applyAlignment="1">
      <alignment horizontal="center" vertical="center" wrapText="1"/>
    </xf>
    <xf numFmtId="176" fontId="10" fillId="0" borderId="16" xfId="0" applyNumberFormat="1" applyFont="1" applyBorder="1" applyAlignment="1">
      <alignment horizontal="center" vertical="center" wrapText="1"/>
    </xf>
    <xf numFmtId="37" fontId="9" fillId="0" borderId="3" xfId="7" applyNumberFormat="1" applyFont="1" applyFill="1" applyBorder="1" applyAlignment="1">
      <alignment horizontal="center" vertical="center"/>
    </xf>
    <xf numFmtId="175" fontId="17" fillId="2" borderId="0" xfId="10" applyNumberFormat="1" applyFont="1"/>
    <xf numFmtId="3" fontId="17" fillId="0" borderId="0" xfId="0" applyNumberFormat="1" applyFont="1" applyAlignment="1">
      <alignment horizontal="right"/>
    </xf>
    <xf numFmtId="3" fontId="2" fillId="0" borderId="7" xfId="0" applyNumberFormat="1" applyFont="1" applyBorder="1" applyAlignment="1">
      <alignment horizontal="center" vertical="center" shrinkToFit="1"/>
    </xf>
    <xf numFmtId="3" fontId="24" fillId="0" borderId="0" xfId="0" applyNumberFormat="1" applyFont="1"/>
    <xf numFmtId="174" fontId="17" fillId="0" borderId="0" xfId="0" applyNumberFormat="1" applyFont="1" applyAlignment="1">
      <alignment horizontal="center" vertical="center" shrinkToFit="1"/>
    </xf>
    <xf numFmtId="176" fontId="9" fillId="0" borderId="7" xfId="0" applyNumberFormat="1" applyFont="1" applyBorder="1" applyAlignment="1">
      <alignment horizontal="center" vertical="center" shrinkToFit="1"/>
    </xf>
    <xf numFmtId="37" fontId="8" fillId="0" borderId="3" xfId="0" applyNumberFormat="1" applyFont="1" applyBorder="1" applyAlignment="1">
      <alignment horizontal="center" vertical="center" wrapText="1"/>
    </xf>
    <xf numFmtId="37" fontId="9" fillId="0" borderId="3" xfId="0" applyNumberFormat="1" applyFont="1" applyBorder="1" applyAlignment="1">
      <alignment horizontal="center" vertical="center" wrapText="1"/>
    </xf>
    <xf numFmtId="3" fontId="23" fillId="0" borderId="0" xfId="0" applyNumberFormat="1" applyFont="1"/>
    <xf numFmtId="0" fontId="35" fillId="6" borderId="0" xfId="15" applyAlignment="1">
      <alignment vertical="center"/>
    </xf>
    <xf numFmtId="0" fontId="0" fillId="0" borderId="0" xfId="0" applyAlignment="1">
      <alignment horizontal="center" vertical="center" shrinkToFit="1"/>
    </xf>
    <xf numFmtId="175" fontId="0" fillId="0" borderId="0" xfId="0" applyNumberFormat="1" applyAlignment="1">
      <alignment horizontal="center" vertical="center" shrinkToFit="1"/>
    </xf>
    <xf numFmtId="4" fontId="9" fillId="0" borderId="0" xfId="0" applyNumberFormat="1" applyFont="1" applyAlignment="1">
      <alignment horizontal="center" vertical="center" shrinkToFit="1"/>
    </xf>
    <xf numFmtId="3" fontId="30" fillId="2" borderId="0" xfId="0" applyNumberFormat="1" applyFont="1" applyFill="1" applyAlignment="1">
      <alignment horizontal="center" vertical="center" shrinkToFit="1"/>
    </xf>
    <xf numFmtId="175" fontId="30" fillId="2" borderId="0" xfId="0" applyNumberFormat="1" applyFont="1" applyFill="1" applyAlignment="1">
      <alignment horizontal="center" vertical="center" shrinkToFit="1"/>
    </xf>
    <xf numFmtId="3" fontId="36" fillId="0" borderId="7" xfId="0" applyNumberFormat="1" applyFont="1" applyBorder="1" applyAlignment="1">
      <alignment horizontal="center" vertical="center" shrinkToFit="1"/>
    </xf>
    <xf numFmtId="3" fontId="36" fillId="4" borderId="7" xfId="0" applyNumberFormat="1" applyFont="1" applyFill="1" applyBorder="1" applyAlignment="1">
      <alignment horizontal="center" vertical="center" shrinkToFit="1"/>
    </xf>
    <xf numFmtId="174" fontId="36" fillId="0" borderId="7" xfId="0" applyNumberFormat="1" applyFont="1" applyBorder="1" applyAlignment="1">
      <alignment horizontal="center" vertical="center" shrinkToFit="1"/>
    </xf>
    <xf numFmtId="37" fontId="36" fillId="0" borderId="0" xfId="0" applyNumberFormat="1" applyFont="1" applyAlignment="1">
      <alignment horizontal="center" vertical="center" shrinkToFit="1"/>
    </xf>
    <xf numFmtId="4" fontId="36" fillId="0" borderId="7" xfId="0" applyNumberFormat="1" applyFont="1" applyBorder="1" applyAlignment="1">
      <alignment horizontal="center" vertical="center" shrinkToFit="1"/>
    </xf>
    <xf numFmtId="0" fontId="26" fillId="0" borderId="0" xfId="0" applyFont="1" applyAlignment="1">
      <alignment horizontal="center" vertical="center"/>
    </xf>
    <xf numFmtId="174" fontId="26" fillId="0" borderId="0" xfId="0" applyNumberFormat="1" applyFont="1" applyAlignment="1">
      <alignment horizontal="center" vertical="center"/>
    </xf>
    <xf numFmtId="0" fontId="17" fillId="0" borderId="0" xfId="7" applyFont="1" applyFill="1" applyAlignment="1">
      <alignment horizontal="center" vertical="center"/>
    </xf>
    <xf numFmtId="175" fontId="17" fillId="0" borderId="0" xfId="7" applyNumberFormat="1" applyFont="1" applyFill="1"/>
    <xf numFmtId="3" fontId="1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3" fontId="2" fillId="4" borderId="7" xfId="0" applyNumberFormat="1" applyFont="1" applyFill="1" applyBorder="1" applyAlignment="1">
      <alignment horizontal="center" vertical="center" shrinkToFit="1"/>
    </xf>
    <xf numFmtId="3" fontId="9" fillId="4" borderId="7" xfId="0" applyNumberFormat="1" applyFont="1" applyFill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175" fontId="30" fillId="5" borderId="7" xfId="0" applyNumberFormat="1" applyFont="1" applyFill="1" applyBorder="1" applyAlignment="1">
      <alignment horizontal="center" vertical="center"/>
    </xf>
    <xf numFmtId="175" fontId="30" fillId="2" borderId="7" xfId="0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vertical="center"/>
    </xf>
    <xf numFmtId="3" fontId="17" fillId="0" borderId="0" xfId="0" applyNumberFormat="1" applyFont="1" applyAlignment="1">
      <alignment horizontal="center"/>
    </xf>
    <xf numFmtId="37" fontId="17" fillId="0" borderId="0" xfId="0" applyNumberFormat="1" applyFont="1" applyAlignment="1">
      <alignment horizontal="center"/>
    </xf>
    <xf numFmtId="0" fontId="17" fillId="0" borderId="0" xfId="0" applyFont="1"/>
    <xf numFmtId="3" fontId="30" fillId="2" borderId="0" xfId="0" applyNumberFormat="1" applyFont="1" applyFill="1" applyAlignment="1">
      <alignment horizontal="right" vertical="center"/>
    </xf>
    <xf numFmtId="0" fontId="17" fillId="0" borderId="0" xfId="0" applyFont="1" applyAlignment="1">
      <alignment horizontal="right"/>
    </xf>
    <xf numFmtId="3" fontId="17" fillId="0" borderId="0" xfId="0" applyNumberFormat="1" applyFont="1" applyAlignment="1">
      <alignment horizontal="right" vertical="center"/>
    </xf>
    <xf numFmtId="174" fontId="30" fillId="2" borderId="0" xfId="0" applyNumberFormat="1" applyFont="1" applyFill="1" applyAlignment="1">
      <alignment vertical="center"/>
    </xf>
    <xf numFmtId="174" fontId="30" fillId="2" borderId="0" xfId="0" applyNumberFormat="1" applyFont="1" applyFill="1" applyAlignment="1">
      <alignment horizontal="right" vertical="center"/>
    </xf>
    <xf numFmtId="37" fontId="9" fillId="0" borderId="0" xfId="0" applyNumberFormat="1" applyFont="1" applyAlignment="1">
      <alignment vertical="center" wrapText="1"/>
    </xf>
    <xf numFmtId="0" fontId="17" fillId="0" borderId="0" xfId="0" applyFont="1" applyAlignment="1"/>
    <xf numFmtId="3" fontId="30" fillId="2" borderId="0" xfId="0" applyNumberFormat="1" applyFont="1" applyFill="1" applyAlignment="1">
      <alignment vertical="center"/>
    </xf>
    <xf numFmtId="37" fontId="9" fillId="0" borderId="0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174" fontId="17" fillId="0" borderId="0" xfId="0" applyNumberFormat="1" applyFont="1" applyAlignment="1">
      <alignment vertical="center"/>
    </xf>
    <xf numFmtId="174" fontId="26" fillId="0" borderId="0" xfId="0" applyNumberFormat="1" applyFont="1" applyAlignment="1">
      <alignment vertical="center" wrapText="1"/>
    </xf>
    <xf numFmtId="165" fontId="9" fillId="0" borderId="0" xfId="8" applyNumberFormat="1" applyFont="1" applyFill="1" applyAlignment="1">
      <alignment horizontal="right" vertical="center"/>
    </xf>
    <xf numFmtId="174" fontId="9" fillId="0" borderId="0" xfId="8" applyNumberFormat="1" applyFont="1" applyFill="1" applyAlignment="1">
      <alignment horizontal="right" vertical="center"/>
    </xf>
    <xf numFmtId="174" fontId="9" fillId="0" borderId="0" xfId="0" applyNumberFormat="1" applyFont="1" applyAlignment="1">
      <alignment horizontal="right" vertical="center"/>
    </xf>
    <xf numFmtId="37" fontId="2" fillId="0" borderId="0" xfId="0" applyNumberFormat="1" applyFont="1" applyAlignment="1">
      <alignment horizontal="center" vertical="center" wrapText="1"/>
    </xf>
    <xf numFmtId="0" fontId="17" fillId="0" borderId="0" xfId="0" applyFont="1"/>
    <xf numFmtId="37" fontId="9" fillId="0" borderId="0" xfId="0" applyNumberFormat="1" applyFont="1" applyBorder="1" applyAlignment="1">
      <alignment horizontal="center" vertical="center"/>
    </xf>
    <xf numFmtId="37" fontId="5" fillId="0" borderId="14" xfId="0" applyNumberFormat="1" applyFont="1" applyBorder="1" applyAlignment="1">
      <alignment horizontal="center" vertical="center" wrapText="1"/>
    </xf>
    <xf numFmtId="175" fontId="9" fillId="0" borderId="0" xfId="0" applyNumberFormat="1" applyFont="1" applyBorder="1" applyAlignment="1">
      <alignment horizontal="center" vertical="center"/>
    </xf>
    <xf numFmtId="0" fontId="17" fillId="0" borderId="0" xfId="0" applyFont="1"/>
    <xf numFmtId="37" fontId="2" fillId="0" borderId="0" xfId="0" applyNumberFormat="1" applyFont="1" applyAlignment="1">
      <alignment horizontal="center" vertical="center" wrapText="1"/>
    </xf>
    <xf numFmtId="0" fontId="30" fillId="2" borderId="0" xfId="0" applyFont="1" applyFill="1" applyAlignment="1">
      <alignment vertical="top"/>
    </xf>
    <xf numFmtId="3" fontId="30" fillId="2" borderId="0" xfId="0" applyNumberFormat="1" applyFont="1" applyFill="1" applyBorder="1" applyAlignment="1">
      <alignment horizontal="center" vertical="top"/>
    </xf>
    <xf numFmtId="177" fontId="9" fillId="0" borderId="0" xfId="0" applyNumberFormat="1" applyFont="1" applyAlignment="1">
      <alignment horizontal="center" vertical="center"/>
    </xf>
    <xf numFmtId="177" fontId="30" fillId="2" borderId="0" xfId="0" applyNumberFormat="1" applyFont="1" applyFill="1" applyAlignment="1">
      <alignment horizontal="center" vertical="center"/>
    </xf>
    <xf numFmtId="39" fontId="17" fillId="0" borderId="0" xfId="0" applyNumberFormat="1" applyFont="1" applyAlignment="1">
      <alignment horizontal="center" vertical="center" wrapText="1"/>
    </xf>
    <xf numFmtId="175" fontId="9" fillId="0" borderId="7" xfId="0" applyNumberFormat="1" applyFont="1" applyBorder="1" applyAlignment="1">
      <alignment horizontal="right" vertical="center"/>
    </xf>
    <xf numFmtId="0" fontId="17" fillId="0" borderId="0" xfId="0" applyFont="1"/>
    <xf numFmtId="3" fontId="30" fillId="2" borderId="0" xfId="0" applyNumberFormat="1" applyFont="1" applyFill="1" applyAlignment="1">
      <alignment horizontal="right" vertical="top"/>
    </xf>
    <xf numFmtId="174" fontId="30" fillId="0" borderId="0" xfId="0" applyNumberFormat="1" applyFont="1" applyAlignment="1">
      <alignment horizontal="center" vertical="center"/>
    </xf>
    <xf numFmtId="175" fontId="9" fillId="0" borderId="0" xfId="0" applyNumberFormat="1" applyFont="1" applyFill="1" applyAlignment="1">
      <alignment horizontal="center" vertical="center" shrinkToFit="1"/>
    </xf>
    <xf numFmtId="3" fontId="30" fillId="2" borderId="0" xfId="0" applyNumberFormat="1" applyFont="1" applyFill="1" applyAlignment="1">
      <alignment vertical="top"/>
    </xf>
    <xf numFmtId="3" fontId="30" fillId="2" borderId="12" xfId="0" applyNumberFormat="1" applyFont="1" applyFill="1" applyBorder="1" applyAlignment="1">
      <alignment vertical="top"/>
    </xf>
    <xf numFmtId="37" fontId="28" fillId="0" borderId="0" xfId="0" applyNumberFormat="1" applyFont="1" applyBorder="1" applyAlignment="1">
      <alignment horizontal="center" vertical="center"/>
    </xf>
    <xf numFmtId="0" fontId="17" fillId="0" borderId="3" xfId="0" applyFont="1" applyBorder="1"/>
    <xf numFmtId="4" fontId="2" fillId="0" borderId="3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3" fontId="30" fillId="2" borderId="0" xfId="0" applyNumberFormat="1" applyFont="1" applyFill="1" applyBorder="1" applyAlignment="1">
      <alignment vertical="top"/>
    </xf>
    <xf numFmtId="3" fontId="30" fillId="2" borderId="0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175" fontId="30" fillId="2" borderId="0" xfId="0" applyNumberFormat="1" applyFont="1" applyFill="1" applyBorder="1" applyAlignment="1">
      <alignment horizontal="center" vertical="center" shrinkToFit="1"/>
    </xf>
    <xf numFmtId="175" fontId="0" fillId="0" borderId="0" xfId="0" applyNumberFormat="1" applyBorder="1" applyAlignment="1">
      <alignment horizontal="center" vertical="center" shrinkToFit="1"/>
    </xf>
    <xf numFmtId="3" fontId="30" fillId="2" borderId="0" xfId="0" applyNumberFormat="1" applyFont="1" applyFill="1" applyBorder="1" applyAlignment="1">
      <alignment horizontal="center" vertical="center"/>
    </xf>
    <xf numFmtId="37" fontId="9" fillId="0" borderId="0" xfId="0" applyNumberFormat="1" applyFont="1" applyBorder="1" applyAlignment="1">
      <alignment horizontal="center" vertical="center" shrinkToFit="1"/>
    </xf>
    <xf numFmtId="4" fontId="9" fillId="0" borderId="0" xfId="0" applyNumberFormat="1" applyFont="1" applyBorder="1" applyAlignment="1">
      <alignment horizontal="center" vertical="center" shrinkToFit="1"/>
    </xf>
    <xf numFmtId="0" fontId="38" fillId="2" borderId="0" xfId="16" applyAlignment="1">
      <alignment horizontal="left"/>
    </xf>
    <xf numFmtId="0" fontId="40" fillId="2" borderId="12" xfId="16" applyFont="1" applyFill="1" applyBorder="1" applyAlignment="1">
      <alignment horizontal="center" vertical="center"/>
    </xf>
    <xf numFmtId="0" fontId="40" fillId="2" borderId="12" xfId="16" applyFont="1" applyFill="1" applyBorder="1" applyAlignment="1">
      <alignment horizontal="center" vertical="center" wrapText="1"/>
    </xf>
    <xf numFmtId="0" fontId="40" fillId="2" borderId="17" xfId="16" applyFont="1" applyFill="1" applyBorder="1" applyAlignment="1">
      <alignment horizontal="center" vertical="center" wrapText="1"/>
    </xf>
    <xf numFmtId="0" fontId="30" fillId="2" borderId="17" xfId="16" applyFont="1" applyFill="1" applyBorder="1" applyAlignment="1">
      <alignment horizontal="right" vertical="center"/>
    </xf>
    <xf numFmtId="0" fontId="38" fillId="2" borderId="0" xfId="16" applyAlignment="1">
      <alignment horizontal="left" vertical="center"/>
    </xf>
    <xf numFmtId="37" fontId="40" fillId="2" borderId="12" xfId="16" applyNumberFormat="1" applyFont="1" applyFill="1" applyBorder="1" applyAlignment="1">
      <alignment horizontal="center" vertical="center"/>
    </xf>
    <xf numFmtId="0" fontId="30" fillId="2" borderId="17" xfId="16" applyFont="1" applyFill="1" applyBorder="1" applyAlignment="1">
      <alignment horizontal="center" vertical="center"/>
    </xf>
    <xf numFmtId="0" fontId="38" fillId="2" borderId="0" xfId="16" applyAlignment="1">
      <alignment horizontal="center" vertical="center"/>
    </xf>
    <xf numFmtId="3" fontId="30" fillId="2" borderId="17" xfId="16" applyNumberFormat="1" applyFont="1" applyFill="1" applyBorder="1" applyAlignment="1">
      <alignment horizontal="center" vertical="center"/>
    </xf>
    <xf numFmtId="3" fontId="30" fillId="2" borderId="18" xfId="16" applyNumberFormat="1" applyFont="1" applyFill="1" applyBorder="1" applyAlignment="1">
      <alignment horizontal="center" vertical="center"/>
    </xf>
    <xf numFmtId="0" fontId="17" fillId="0" borderId="0" xfId="7" applyFont="1" applyFill="1"/>
    <xf numFmtId="172" fontId="17" fillId="0" borderId="0" xfId="11" applyNumberFormat="1" applyFont="1" applyFill="1"/>
    <xf numFmtId="0" fontId="13" fillId="2" borderId="0" xfId="2" applyFont="1" applyAlignment="1"/>
    <xf numFmtId="0" fontId="15" fillId="2" borderId="0" xfId="2" applyFont="1" applyAlignment="1">
      <alignment horizontal="right" readingOrder="2"/>
    </xf>
    <xf numFmtId="0" fontId="17" fillId="0" borderId="0" xfId="0" applyFont="1"/>
    <xf numFmtId="37" fontId="2" fillId="0" borderId="0" xfId="0" applyNumberFormat="1" applyFont="1" applyAlignment="1">
      <alignment horizontal="center" vertical="center" wrapText="1"/>
    </xf>
    <xf numFmtId="0" fontId="23" fillId="0" borderId="0" xfId="0" applyFont="1"/>
    <xf numFmtId="37" fontId="5" fillId="0" borderId="0" xfId="0" applyNumberFormat="1" applyFont="1" applyBorder="1" applyAlignment="1">
      <alignment horizontal="center" vertical="center"/>
    </xf>
    <xf numFmtId="0" fontId="30" fillId="2" borderId="0" xfId="0" applyFont="1" applyFill="1" applyBorder="1" applyAlignment="1">
      <alignment vertical="top"/>
    </xf>
    <xf numFmtId="174" fontId="30" fillId="0" borderId="0" xfId="0" applyNumberFormat="1" applyFont="1" applyBorder="1" applyAlignment="1">
      <alignment horizontal="center" vertical="center"/>
    </xf>
    <xf numFmtId="174" fontId="30" fillId="2" borderId="0" xfId="0" applyNumberFormat="1" applyFont="1" applyFill="1" applyBorder="1" applyAlignment="1">
      <alignment horizontal="center" vertical="center"/>
    </xf>
    <xf numFmtId="174" fontId="0" fillId="0" borderId="0" xfId="0" applyNumberFormat="1" applyBorder="1" applyAlignment="1">
      <alignment horizontal="center" vertical="center"/>
    </xf>
    <xf numFmtId="174" fontId="30" fillId="2" borderId="0" xfId="0" applyNumberFormat="1" applyFont="1" applyFill="1" applyBorder="1" applyAlignment="1">
      <alignment horizontal="right" vertical="center"/>
    </xf>
    <xf numFmtId="174" fontId="17" fillId="0" borderId="0" xfId="0" applyNumberFormat="1" applyFont="1" applyBorder="1" applyAlignment="1">
      <alignment horizontal="center" vertical="center" shrinkToFit="1"/>
    </xf>
    <xf numFmtId="177" fontId="9" fillId="0" borderId="0" xfId="0" applyNumberFormat="1" applyFont="1" applyBorder="1" applyAlignment="1">
      <alignment horizontal="center" vertical="center" shrinkToFit="1"/>
    </xf>
    <xf numFmtId="37" fontId="2" fillId="0" borderId="0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0" fontId="17" fillId="2" borderId="0" xfId="0" applyFont="1" applyFill="1" applyBorder="1"/>
    <xf numFmtId="37" fontId="10" fillId="0" borderId="0" xfId="0" applyNumberFormat="1" applyFont="1" applyBorder="1" applyAlignment="1">
      <alignment horizontal="center" vertical="center" wrapText="1"/>
    </xf>
    <xf numFmtId="177" fontId="9" fillId="0" borderId="0" xfId="0" applyNumberFormat="1" applyFont="1" applyBorder="1" applyAlignment="1">
      <alignment horizontal="center" vertical="center"/>
    </xf>
    <xf numFmtId="37" fontId="3" fillId="0" borderId="0" xfId="0" applyNumberFormat="1" applyFont="1" applyAlignment="1">
      <alignment horizontal="center" vertical="center"/>
    </xf>
    <xf numFmtId="0" fontId="0" fillId="0" borderId="0" xfId="0"/>
    <xf numFmtId="37" fontId="4" fillId="0" borderId="0" xfId="0" applyNumberFormat="1" applyFont="1" applyAlignment="1">
      <alignment horizontal="center" vertical="center"/>
    </xf>
    <xf numFmtId="37" fontId="11" fillId="2" borderId="0" xfId="2" applyNumberFormat="1" applyFont="1" applyAlignment="1">
      <alignment horizontal="center" vertical="center"/>
    </xf>
    <xf numFmtId="0" fontId="11" fillId="2" borderId="0" xfId="2" applyFont="1" applyAlignment="1">
      <alignment horizontal="center" vertical="center"/>
    </xf>
    <xf numFmtId="0" fontId="14" fillId="2" borderId="0" xfId="2" applyFont="1" applyAlignment="1">
      <alignment horizontal="right" vertical="center" readingOrder="2"/>
    </xf>
    <xf numFmtId="0" fontId="12" fillId="2" borderId="0" xfId="2" applyFont="1" applyAlignment="1">
      <alignment horizontal="center" wrapText="1"/>
    </xf>
    <xf numFmtId="0" fontId="12" fillId="2" borderId="8" xfId="2" applyFont="1" applyBorder="1" applyAlignment="1">
      <alignment horizontal="center" wrapText="1"/>
    </xf>
    <xf numFmtId="167" fontId="12" fillId="2" borderId="0" xfId="3" applyNumberFormat="1" applyFont="1" applyBorder="1" applyAlignment="1">
      <alignment horizontal="center" wrapText="1"/>
    </xf>
    <xf numFmtId="167" fontId="12" fillId="2" borderId="8" xfId="3" applyNumberFormat="1" applyFont="1" applyBorder="1" applyAlignment="1">
      <alignment horizontal="center" wrapText="1"/>
    </xf>
    <xf numFmtId="0" fontId="8" fillId="0" borderId="0" xfId="0" applyFont="1" applyAlignment="1">
      <alignment horizontal="right" readingOrder="2"/>
    </xf>
    <xf numFmtId="37" fontId="21" fillId="0" borderId="0" xfId="0" applyNumberFormat="1" applyFont="1" applyAlignment="1">
      <alignment horizontal="center" vertical="center"/>
    </xf>
    <xf numFmtId="0" fontId="17" fillId="0" borderId="0" xfId="0" applyFont="1"/>
    <xf numFmtId="37" fontId="10" fillId="0" borderId="0" xfId="0" applyNumberFormat="1" applyFont="1" applyAlignment="1">
      <alignment horizontal="right" vertical="center"/>
    </xf>
    <xf numFmtId="37" fontId="25" fillId="0" borderId="0" xfId="0" applyNumberFormat="1" applyFont="1" applyAlignment="1">
      <alignment horizontal="right" vertical="center"/>
    </xf>
    <xf numFmtId="0" fontId="24" fillId="0" borderId="0" xfId="0" applyFont="1"/>
    <xf numFmtId="37" fontId="5" fillId="0" borderId="1" xfId="0" applyNumberFormat="1" applyFont="1" applyBorder="1" applyAlignment="1">
      <alignment horizontal="center" vertical="center"/>
    </xf>
    <xf numFmtId="0" fontId="26" fillId="2" borderId="2" xfId="0" applyFont="1" applyFill="1" applyBorder="1"/>
    <xf numFmtId="0" fontId="26" fillId="2" borderId="1" xfId="0" applyFont="1" applyFill="1" applyBorder="1"/>
    <xf numFmtId="0" fontId="2" fillId="0" borderId="0" xfId="0" applyFont="1" applyAlignment="1">
      <alignment horizontal="center" vertical="center"/>
    </xf>
    <xf numFmtId="3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6" fillId="0" borderId="1" xfId="0" applyFont="1" applyBorder="1"/>
    <xf numFmtId="37" fontId="2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37" fontId="10" fillId="0" borderId="1" xfId="0" applyNumberFormat="1" applyFont="1" applyBorder="1" applyAlignment="1">
      <alignment horizontal="center" vertical="center"/>
    </xf>
    <xf numFmtId="0" fontId="17" fillId="2" borderId="2" xfId="0" applyFont="1" applyFill="1" applyBorder="1"/>
    <xf numFmtId="0" fontId="17" fillId="2" borderId="1" xfId="0" applyFont="1" applyFill="1" applyBorder="1"/>
    <xf numFmtId="0" fontId="28" fillId="0" borderId="0" xfId="0" applyFont="1" applyAlignment="1">
      <alignment horizontal="center" vertical="center"/>
    </xf>
    <xf numFmtId="37" fontId="28" fillId="0" borderId="0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1" fillId="0" borderId="1" xfId="0" applyFont="1" applyBorder="1"/>
    <xf numFmtId="37" fontId="28" fillId="0" borderId="0" xfId="0" applyNumberFormat="1" applyFont="1" applyAlignment="1">
      <alignment horizontal="center" vertical="center" wrapText="1"/>
    </xf>
    <xf numFmtId="4" fontId="28" fillId="0" borderId="0" xfId="0" applyNumberFormat="1" applyFont="1" applyAlignment="1">
      <alignment horizontal="center" vertical="center" wrapText="1"/>
    </xf>
    <xf numFmtId="4" fontId="28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7" fontId="5" fillId="0" borderId="0" xfId="0" applyNumberFormat="1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31" fillId="0" borderId="14" xfId="0" applyFont="1" applyBorder="1"/>
    <xf numFmtId="37" fontId="10" fillId="0" borderId="11" xfId="0" applyNumberFormat="1" applyFont="1" applyBorder="1" applyAlignment="1">
      <alignment horizontal="center" vertical="center"/>
    </xf>
    <xf numFmtId="0" fontId="17" fillId="2" borderId="11" xfId="0" applyFont="1" applyFill="1" applyBorder="1"/>
    <xf numFmtId="37" fontId="5" fillId="0" borderId="0" xfId="0" applyNumberFormat="1" applyFont="1" applyAlignment="1">
      <alignment horizontal="right" vertical="center"/>
    </xf>
    <xf numFmtId="37" fontId="10" fillId="0" borderId="0" xfId="0" applyNumberFormat="1" applyFont="1" applyAlignment="1">
      <alignment horizontal="center"/>
    </xf>
    <xf numFmtId="37" fontId="10" fillId="0" borderId="1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37" fontId="23" fillId="0" borderId="0" xfId="0" applyNumberFormat="1" applyFont="1" applyAlignment="1">
      <alignment horizontal="right" vertical="center"/>
    </xf>
    <xf numFmtId="0" fontId="23" fillId="0" borderId="0" xfId="0" applyFont="1"/>
    <xf numFmtId="0" fontId="31" fillId="2" borderId="16" xfId="0" applyFont="1" applyFill="1" applyBorder="1" applyAlignment="1">
      <alignment horizontal="center" vertical="center"/>
    </xf>
    <xf numFmtId="37" fontId="9" fillId="0" borderId="13" xfId="0" applyNumberFormat="1" applyFont="1" applyBorder="1" applyAlignment="1">
      <alignment horizontal="center" vertical="center"/>
    </xf>
    <xf numFmtId="0" fontId="17" fillId="2" borderId="15" xfId="0" applyFont="1" applyFill="1" applyBorder="1"/>
    <xf numFmtId="0" fontId="17" fillId="2" borderId="5" xfId="0" applyFont="1" applyFill="1" applyBorder="1"/>
    <xf numFmtId="0" fontId="17" fillId="2" borderId="6" xfId="0" applyFont="1" applyFill="1" applyBorder="1"/>
    <xf numFmtId="37" fontId="25" fillId="0" borderId="0" xfId="0" applyNumberFormat="1" applyFont="1" applyAlignment="1">
      <alignment horizontal="right" vertical="center" readingOrder="1"/>
    </xf>
    <xf numFmtId="0" fontId="24" fillId="0" borderId="0" xfId="0" applyFont="1" applyAlignment="1">
      <alignment readingOrder="1"/>
    </xf>
    <xf numFmtId="0" fontId="17" fillId="0" borderId="11" xfId="0" applyFont="1" applyBorder="1" applyAlignment="1">
      <alignment horizontal="center"/>
    </xf>
    <xf numFmtId="0" fontId="27" fillId="2" borderId="0" xfId="16" applyFont="1" applyAlignment="1">
      <alignment horizontal="center" vertical="center"/>
    </xf>
    <xf numFmtId="0" fontId="39" fillId="2" borderId="0" xfId="16" applyFont="1" applyFill="1" applyAlignment="1">
      <alignment horizontal="center" vertical="center"/>
    </xf>
    <xf numFmtId="0" fontId="14" fillId="2" borderId="0" xfId="16" applyFont="1" applyFill="1" applyAlignment="1">
      <alignment horizontal="right" vertical="center" readingOrder="2"/>
    </xf>
    <xf numFmtId="0" fontId="38" fillId="2" borderId="0" xfId="16" applyBorder="1" applyAlignment="1">
      <alignment horizontal="center"/>
    </xf>
    <xf numFmtId="37" fontId="21" fillId="2" borderId="0" xfId="8" applyNumberFormat="1" applyFont="1" applyAlignment="1">
      <alignment horizontal="center" vertical="center"/>
    </xf>
    <xf numFmtId="37" fontId="25" fillId="2" borderId="0" xfId="8" applyNumberFormat="1" applyFont="1" applyAlignment="1">
      <alignment horizontal="right" vertical="center"/>
    </xf>
    <xf numFmtId="0" fontId="24" fillId="2" borderId="0" xfId="8" applyFont="1"/>
    <xf numFmtId="37" fontId="21" fillId="0" borderId="0" xfId="7" applyNumberFormat="1" applyFont="1" applyFill="1" applyAlignment="1">
      <alignment horizontal="center" vertical="center"/>
    </xf>
    <xf numFmtId="0" fontId="17" fillId="0" borderId="0" xfId="7" applyFont="1" applyFill="1"/>
    <xf numFmtId="37" fontId="25" fillId="0" borderId="0" xfId="7" applyNumberFormat="1" applyFont="1" applyFill="1" applyAlignment="1">
      <alignment horizontal="right" vertical="center"/>
    </xf>
    <xf numFmtId="0" fontId="24" fillId="0" borderId="0" xfId="7" applyFont="1" applyFill="1"/>
    <xf numFmtId="37" fontId="10" fillId="0" borderId="1" xfId="7" applyNumberFormat="1" applyFont="1" applyFill="1" applyBorder="1" applyAlignment="1">
      <alignment horizontal="center" vertical="center"/>
    </xf>
    <xf numFmtId="0" fontId="17" fillId="0" borderId="2" xfId="7" applyFont="1" applyFill="1" applyBorder="1"/>
    <xf numFmtId="37" fontId="10" fillId="0" borderId="8" xfId="10" applyNumberFormat="1" applyFont="1" applyFill="1" applyBorder="1" applyAlignment="1">
      <alignment horizontal="center" vertical="center"/>
    </xf>
    <xf numFmtId="37" fontId="21" fillId="2" borderId="0" xfId="10" applyNumberFormat="1" applyFont="1" applyAlignment="1">
      <alignment horizontal="center" vertical="center"/>
    </xf>
    <xf numFmtId="37" fontId="5" fillId="0" borderId="0" xfId="10" applyNumberFormat="1" applyFont="1" applyFill="1" applyAlignment="1">
      <alignment horizontal="right" vertical="center"/>
    </xf>
    <xf numFmtId="0" fontId="17" fillId="0" borderId="0" xfId="10" applyFont="1" applyFill="1"/>
    <xf numFmtId="0" fontId="17" fillId="2" borderId="0" xfId="10" applyFont="1" applyAlignment="1">
      <alignment horizontal="center"/>
    </xf>
  </cellXfs>
  <cellStyles count="17">
    <cellStyle name="Bad" xfId="15" builtinId="27"/>
    <cellStyle name="Comma" xfId="11" builtinId="3"/>
    <cellStyle name="Comma 2" xfId="3"/>
    <cellStyle name="Comma 2 10 2" xfId="6"/>
    <cellStyle name="Comma 2 2 2" xfId="4"/>
    <cellStyle name="Normal" xfId="0" builtinId="0"/>
    <cellStyle name="Normal 2" xfId="1"/>
    <cellStyle name="Normal 2 2 2" xfId="2"/>
    <cellStyle name="Normal 3" xfId="7"/>
    <cellStyle name="Normal 3 2" xfId="12"/>
    <cellStyle name="Normal 4" xfId="8"/>
    <cellStyle name="Normal 47" xfId="14"/>
    <cellStyle name="Normal 5" xfId="9"/>
    <cellStyle name="Normal 6" xfId="10"/>
    <cellStyle name="Normal 7" xfId="13"/>
    <cellStyle name="Normal 8" xfId="16"/>
    <cellStyle name="Percent 2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7</xdr:row>
      <xdr:rowOff>66675</xdr:rowOff>
    </xdr:from>
    <xdr:to>
      <xdr:col>7</xdr:col>
      <xdr:colOff>114299</xdr:colOff>
      <xdr:row>17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7B343B-9E00-49C0-995E-22D4D249B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232301" y="1333500"/>
          <a:ext cx="2933700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11"/>
  <sheetViews>
    <sheetView rightToLeft="1" workbookViewId="0">
      <selection activeCell="B3" sqref="B3"/>
    </sheetView>
  </sheetViews>
  <sheetFormatPr defaultColWidth="9" defaultRowHeight="18" x14ac:dyDescent="0.45"/>
  <cols>
    <col min="1" max="1" width="18.625" style="2" customWidth="1"/>
    <col min="2" max="2" width="32" style="2" bestFit="1" customWidth="1"/>
    <col min="3" max="4" width="18.625" style="2" customWidth="1"/>
    <col min="5" max="16384" width="9" style="2"/>
  </cols>
  <sheetData>
    <row r="1" spans="1:2" ht="29.25" customHeight="1" x14ac:dyDescent="0.45">
      <c r="B1" s="1" t="s">
        <v>61</v>
      </c>
    </row>
    <row r="2" spans="1:2" ht="29.25" customHeight="1" x14ac:dyDescent="0.45">
      <c r="B2" s="1" t="s">
        <v>159</v>
      </c>
    </row>
    <row r="3" spans="1:2" x14ac:dyDescent="0.45">
      <c r="B3" s="1" t="s">
        <v>150</v>
      </c>
    </row>
    <row r="4" spans="1:2" x14ac:dyDescent="0.45">
      <c r="B4" s="1"/>
    </row>
    <row r="5" spans="1:2" x14ac:dyDescent="0.45">
      <c r="A5" s="2" t="s">
        <v>151</v>
      </c>
      <c r="B5" s="2" t="s">
        <v>152</v>
      </c>
    </row>
    <row r="7" spans="1:2" x14ac:dyDescent="0.45">
      <c r="B7" s="1" t="s">
        <v>61</v>
      </c>
    </row>
    <row r="8" spans="1:2" x14ac:dyDescent="0.45">
      <c r="B8" s="2" t="s">
        <v>113</v>
      </c>
    </row>
    <row r="9" spans="1:2" x14ac:dyDescent="0.45">
      <c r="B9" s="1" t="s">
        <v>150</v>
      </c>
    </row>
    <row r="11" spans="1:2" x14ac:dyDescent="0.45">
      <c r="A11" s="2" t="s">
        <v>153</v>
      </c>
      <c r="B11" s="2" t="s">
        <v>154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2:J24"/>
  <sheetViews>
    <sheetView rightToLeft="1" view="pageBreakPreview" zoomScaleNormal="100" zoomScaleSheetLayoutView="100" workbookViewId="0">
      <selection activeCell="A23" sqref="A23:J23"/>
    </sheetView>
  </sheetViews>
  <sheetFormatPr defaultRowHeight="14.25" x14ac:dyDescent="0.2"/>
  <sheetData>
    <row r="22" spans="1:10" ht="39.950000000000003" customHeight="1" x14ac:dyDescent="0.2">
      <c r="A22" s="326" t="str">
        <f>تیتر!B1</f>
        <v>صندوق سرمایه گذاری املاک و مستغلات خانه آگاه</v>
      </c>
      <c r="B22" s="327"/>
      <c r="C22" s="327"/>
      <c r="D22" s="327"/>
      <c r="E22" s="327"/>
      <c r="F22" s="327"/>
      <c r="G22" s="327"/>
      <c r="H22" s="327"/>
      <c r="I22" s="327"/>
      <c r="J22" s="327"/>
    </row>
    <row r="23" spans="1:10" ht="39.950000000000003" customHeight="1" x14ac:dyDescent="0.2">
      <c r="A23" s="326" t="str">
        <f>تیتر!B2</f>
        <v>صورت وضعیت پورتفوی</v>
      </c>
      <c r="B23" s="327"/>
      <c r="C23" s="327"/>
      <c r="D23" s="327"/>
      <c r="E23" s="327"/>
      <c r="F23" s="327"/>
      <c r="G23" s="327"/>
      <c r="H23" s="327"/>
      <c r="I23" s="327"/>
      <c r="J23" s="327"/>
    </row>
    <row r="24" spans="1:10" ht="39.950000000000003" customHeight="1" x14ac:dyDescent="0.2">
      <c r="A24" s="328" t="str">
        <f>تیتر!B3</f>
        <v>برای ماه منتهی به 1405/04/31</v>
      </c>
      <c r="B24" s="327"/>
      <c r="C24" s="327"/>
      <c r="D24" s="327"/>
      <c r="E24" s="327"/>
      <c r="F24" s="327"/>
      <c r="G24" s="327"/>
      <c r="H24" s="327"/>
      <c r="I24" s="327"/>
      <c r="J24" s="327"/>
    </row>
  </sheetData>
  <mergeCells count="3">
    <mergeCell ref="A22:J22"/>
    <mergeCell ref="A23:J23"/>
    <mergeCell ref="A24:J24"/>
  </mergeCells>
  <pageMargins left="0.7" right="0.7" top="0.75" bottom="0.75" header="0.3" footer="0.3"/>
  <pageSetup paperSize="9" scale="8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27"/>
  <sheetViews>
    <sheetView rightToLeft="1" view="pageBreakPreview" zoomScaleNormal="100" zoomScaleSheetLayoutView="100" workbookViewId="0">
      <selection activeCell="A15" sqref="A15:XFD21"/>
    </sheetView>
  </sheetViews>
  <sheetFormatPr defaultColWidth="8" defaultRowHeight="18" x14ac:dyDescent="0.45"/>
  <cols>
    <col min="1" max="1" width="36.375" style="39" customWidth="1"/>
    <col min="2" max="2" width="0.875" style="39" customWidth="1"/>
    <col min="3" max="3" width="7.25" style="9" bestFit="1" customWidth="1"/>
    <col min="4" max="4" width="1" style="9" customWidth="1"/>
    <col min="5" max="5" width="20.75" style="9" customWidth="1"/>
    <col min="6" max="6" width="0.875" style="9" customWidth="1"/>
    <col min="7" max="7" width="20.375" style="37" customWidth="1"/>
    <col min="8" max="8" width="0.75" style="9" customWidth="1"/>
    <col min="9" max="9" width="17.75" style="9" customWidth="1"/>
    <col min="10" max="10" width="1.125" style="9" customWidth="1"/>
    <col min="11" max="11" width="20.875" style="9" hidden="1" customWidth="1"/>
    <col min="12" max="12" width="0.625" style="9" hidden="1" customWidth="1"/>
    <col min="13" max="13" width="22" style="9" hidden="1" customWidth="1"/>
    <col min="14" max="14" width="11.25" style="9" hidden="1" customWidth="1"/>
    <col min="15" max="15" width="11.25" style="9" customWidth="1"/>
    <col min="16" max="16" width="12" style="9" customWidth="1"/>
    <col min="17" max="17" width="15.125" style="9" bestFit="1" customWidth="1"/>
    <col min="18" max="16384" width="8" style="9"/>
  </cols>
  <sheetData>
    <row r="1" spans="1:17" ht="34.15" customHeight="1" x14ac:dyDescent="0.45">
      <c r="A1" s="329" t="str">
        <f>'0'!A22:J22</f>
        <v>صندوق سرمایه گذاری املاک و مستغلات خانه آگاه</v>
      </c>
      <c r="B1" s="330"/>
      <c r="C1" s="330"/>
      <c r="D1" s="330"/>
      <c r="E1" s="330"/>
      <c r="F1" s="330"/>
      <c r="G1" s="330"/>
      <c r="H1" s="330"/>
      <c r="I1" s="330"/>
      <c r="J1" s="8"/>
    </row>
    <row r="2" spans="1:17" ht="34.15" customHeight="1" x14ac:dyDescent="0.45">
      <c r="A2" s="330" t="s">
        <v>37</v>
      </c>
      <c r="B2" s="330"/>
      <c r="C2" s="330"/>
      <c r="D2" s="330"/>
      <c r="E2" s="330"/>
      <c r="F2" s="330"/>
      <c r="G2" s="330"/>
      <c r="H2" s="330"/>
      <c r="I2" s="330"/>
      <c r="J2" s="8"/>
    </row>
    <row r="3" spans="1:17" ht="34.15" customHeight="1" x14ac:dyDescent="0.45">
      <c r="A3" s="329" t="str">
        <f>تیتر!B3</f>
        <v>برای ماه منتهی به 1405/04/31</v>
      </c>
      <c r="B3" s="330"/>
      <c r="C3" s="330"/>
      <c r="D3" s="330"/>
      <c r="E3" s="330"/>
      <c r="F3" s="330"/>
      <c r="G3" s="330"/>
      <c r="H3" s="330"/>
      <c r="I3" s="330"/>
      <c r="J3" s="8"/>
    </row>
    <row r="4" spans="1:17" ht="49.9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8"/>
    </row>
    <row r="5" spans="1:17" ht="24" x14ac:dyDescent="0.45">
      <c r="A5" s="331" t="s">
        <v>38</v>
      </c>
      <c r="B5" s="331"/>
      <c r="C5" s="331"/>
      <c r="D5" s="331"/>
      <c r="E5" s="331"/>
      <c r="F5" s="331"/>
      <c r="G5" s="331"/>
      <c r="H5" s="331"/>
      <c r="I5" s="331"/>
      <c r="J5" s="11"/>
    </row>
    <row r="6" spans="1:17" ht="27" customHeight="1" x14ac:dyDescent="0.45">
      <c r="A6" s="12"/>
      <c r="B6" s="12"/>
      <c r="C6" s="12"/>
      <c r="D6" s="12"/>
      <c r="E6" s="334" t="str">
        <f>+تیتر!A5</f>
        <v>1404/03/31</v>
      </c>
      <c r="F6" s="308"/>
      <c r="G6" s="334" t="str">
        <f>+تیتر!B5</f>
        <v>1405/04/31</v>
      </c>
      <c r="H6" s="13"/>
      <c r="I6" s="332" t="s">
        <v>39</v>
      </c>
      <c r="J6" s="12"/>
    </row>
    <row r="7" spans="1:17" ht="22.15" customHeight="1" thickBot="1" x14ac:dyDescent="0.6">
      <c r="A7" s="14" t="s">
        <v>40</v>
      </c>
      <c r="B7" s="8"/>
      <c r="C7" s="14" t="s">
        <v>41</v>
      </c>
      <c r="D7" s="15"/>
      <c r="E7" s="335"/>
      <c r="F7" s="309"/>
      <c r="G7" s="335"/>
      <c r="H7" s="8"/>
      <c r="I7" s="333"/>
      <c r="J7" s="16"/>
    </row>
    <row r="8" spans="1:17" ht="22.15" customHeight="1" x14ac:dyDescent="0.45">
      <c r="A8" s="8"/>
      <c r="B8" s="8"/>
      <c r="C8" s="8"/>
      <c r="D8" s="15"/>
      <c r="E8" s="17" t="s">
        <v>42</v>
      </c>
      <c r="F8" s="17"/>
      <c r="G8" s="18" t="s">
        <v>42</v>
      </c>
      <c r="H8" s="8"/>
      <c r="I8" s="19" t="s">
        <v>43</v>
      </c>
      <c r="J8" s="16"/>
    </row>
    <row r="9" spans="1:17" s="83" customFormat="1" ht="22.15" customHeight="1" x14ac:dyDescent="0.2">
      <c r="A9" s="123" t="s">
        <v>71</v>
      </c>
      <c r="C9" s="21" t="s">
        <v>44</v>
      </c>
      <c r="E9" s="22">
        <f>+'سرمایه گذاری در املاک'!G21</f>
        <v>4042942935071</v>
      </c>
      <c r="F9" s="22"/>
      <c r="G9" s="22">
        <f>+'سرمایه گذاری در املاک'!W21</f>
        <v>4042942935071</v>
      </c>
      <c r="I9" s="24">
        <f>G9/$I$20*100</f>
        <v>59.853477950762532</v>
      </c>
      <c r="K9" s="83">
        <v>3299723783421</v>
      </c>
      <c r="M9" s="83">
        <f>G9-K9</f>
        <v>743219151650</v>
      </c>
    </row>
    <row r="10" spans="1:17" ht="33" customHeight="1" x14ac:dyDescent="0.45">
      <c r="A10" s="124" t="s">
        <v>48</v>
      </c>
      <c r="B10" s="20"/>
      <c r="C10" s="21" t="s">
        <v>45</v>
      </c>
      <c r="D10" s="16"/>
      <c r="E10" s="22">
        <f>+'سرمایه گذاری در سهام (2)'!G19</f>
        <v>383775773572.79126</v>
      </c>
      <c r="F10" s="22"/>
      <c r="G10" s="22">
        <f>+'سرمایه گذاری در سهام (2)'!W19</f>
        <v>178798430915.70981</v>
      </c>
      <c r="H10" s="23"/>
      <c r="I10" s="24">
        <f t="shared" ref="I10:I11" si="0">G10/$I$20*100</f>
        <v>2.6470093974394517</v>
      </c>
      <c r="J10" s="16"/>
      <c r="K10" s="30">
        <v>212001958036</v>
      </c>
      <c r="M10" s="30">
        <v>-45698420851</v>
      </c>
      <c r="N10" s="43">
        <f>G10-K10-M10</f>
        <v>12494893730.709808</v>
      </c>
    </row>
    <row r="11" spans="1:17" ht="32.450000000000003" customHeight="1" x14ac:dyDescent="0.45">
      <c r="A11" s="123" t="s">
        <v>66</v>
      </c>
      <c r="B11" s="20"/>
      <c r="C11" s="21" t="s">
        <v>46</v>
      </c>
      <c r="D11" s="25"/>
      <c r="E11" s="22">
        <f>+صندوق!G16</f>
        <v>1322721878491.7646</v>
      </c>
      <c r="F11" s="22"/>
      <c r="G11" s="22">
        <f>صندوق!W16</f>
        <v>994440556762.20435</v>
      </c>
      <c r="H11" s="26"/>
      <c r="I11" s="24">
        <f t="shared" si="0"/>
        <v>14.722128630901723</v>
      </c>
      <c r="J11" s="27"/>
      <c r="K11" s="28">
        <v>1625156626746</v>
      </c>
      <c r="L11" s="28"/>
      <c r="M11" s="28">
        <v>409083518228</v>
      </c>
      <c r="N11" s="28">
        <f>G11-K11-M11</f>
        <v>-1039799588211.7957</v>
      </c>
      <c r="O11" s="28"/>
      <c r="P11" s="29"/>
      <c r="Q11" s="30"/>
    </row>
    <row r="12" spans="1:17" ht="32.450000000000003" customHeight="1" thickBot="1" x14ac:dyDescent="0.5">
      <c r="A12" s="123" t="s">
        <v>72</v>
      </c>
      <c r="B12" s="20"/>
      <c r="C12" s="21" t="s">
        <v>70</v>
      </c>
      <c r="D12" s="25"/>
      <c r="E12" s="22">
        <f>+سپرده!C13</f>
        <v>288608210810</v>
      </c>
      <c r="F12" s="22"/>
      <c r="G12" s="22">
        <f>+سپرده!I13</f>
        <v>765430073164</v>
      </c>
      <c r="H12" s="26"/>
      <c r="I12" s="24">
        <f>G12/$I$20*100</f>
        <v>11.331758261922506</v>
      </c>
      <c r="J12" s="27"/>
      <c r="K12" s="28"/>
      <c r="L12" s="28"/>
      <c r="M12" s="28"/>
      <c r="N12" s="28"/>
      <c r="O12" s="28"/>
      <c r="P12" s="29"/>
      <c r="Q12" s="30"/>
    </row>
    <row r="13" spans="1:17" ht="32.450000000000003" customHeight="1" thickBot="1" x14ac:dyDescent="0.5">
      <c r="A13" s="125"/>
      <c r="B13" s="9"/>
      <c r="D13" s="25"/>
      <c r="E13" s="32">
        <f>SUM(E9:E12)</f>
        <v>6038048797945.5557</v>
      </c>
      <c r="F13" s="33"/>
      <c r="G13" s="32">
        <f>SUM(G9:G12)</f>
        <v>5981611995912.9141</v>
      </c>
      <c r="H13" s="26"/>
      <c r="I13" s="34">
        <f>SUM(I9:I12)</f>
        <v>88.55437424102621</v>
      </c>
      <c r="J13" s="27"/>
      <c r="K13" s="28"/>
      <c r="L13" s="28"/>
      <c r="M13" s="28"/>
    </row>
    <row r="14" spans="1:17" ht="20.25" customHeight="1" thickTop="1" x14ac:dyDescent="0.45">
      <c r="A14" s="20"/>
      <c r="B14" s="35"/>
      <c r="C14" s="36"/>
      <c r="D14" s="36"/>
      <c r="H14" s="38"/>
      <c r="J14" s="30">
        <v>0</v>
      </c>
      <c r="K14" s="22"/>
      <c r="M14" s="30"/>
    </row>
    <row r="15" spans="1:17" hidden="1" x14ac:dyDescent="0.45">
      <c r="E15" s="37">
        <v>288608210810</v>
      </c>
      <c r="G15" s="37">
        <v>765430073164</v>
      </c>
      <c r="I15" s="9">
        <v>11</v>
      </c>
      <c r="K15" s="30"/>
      <c r="M15" s="30"/>
    </row>
    <row r="16" spans="1:17" hidden="1" x14ac:dyDescent="0.45">
      <c r="A16" s="40"/>
      <c r="C16" s="41"/>
      <c r="E16" s="37">
        <v>5749440587131</v>
      </c>
      <c r="G16" s="37">
        <v>5216181922744</v>
      </c>
      <c r="I16" s="9">
        <v>15</v>
      </c>
      <c r="K16" s="43"/>
      <c r="M16" s="30"/>
    </row>
    <row r="17" spans="1:17" ht="18.75" hidden="1" x14ac:dyDescent="0.45">
      <c r="A17" s="40"/>
      <c r="C17" s="28"/>
      <c r="E17" s="28">
        <f>SUM(E15:E16)</f>
        <v>6038048797941</v>
      </c>
      <c r="F17" s="28"/>
      <c r="G17" s="28">
        <f>SUM(G15:G16)</f>
        <v>5981611995908</v>
      </c>
    </row>
    <row r="18" spans="1:17" ht="18.75" hidden="1" x14ac:dyDescent="0.45">
      <c r="C18" s="28"/>
      <c r="E18" s="28">
        <f t="shared" ref="E18" si="1">E13-E17</f>
        <v>4.5556640625</v>
      </c>
      <c r="F18" s="28"/>
      <c r="G18" s="28">
        <f>G13-G17</f>
        <v>4.9140625</v>
      </c>
      <c r="H18" s="28">
        <f t="shared" ref="H18" si="2">H13-H17</f>
        <v>0</v>
      </c>
    </row>
    <row r="19" spans="1:17" ht="18.75" hidden="1" x14ac:dyDescent="0.45">
      <c r="C19" s="21"/>
      <c r="E19" s="42"/>
      <c r="F19" s="42"/>
      <c r="G19" s="42"/>
    </row>
    <row r="20" spans="1:17" ht="18.75" hidden="1" x14ac:dyDescent="0.45">
      <c r="C20" s="21"/>
      <c r="E20" s="28"/>
      <c r="G20" s="28"/>
      <c r="I20" s="30">
        <v>6754733515063</v>
      </c>
    </row>
    <row r="21" spans="1:17" ht="18.75" hidden="1" x14ac:dyDescent="0.45">
      <c r="C21" s="22"/>
      <c r="D21" s="22"/>
      <c r="E21" s="28"/>
      <c r="F21" s="22"/>
      <c r="G21" s="22"/>
      <c r="H21" s="22"/>
      <c r="I21" s="22"/>
      <c r="J21" s="22"/>
    </row>
    <row r="22" spans="1:17" x14ac:dyDescent="0.45">
      <c r="E22" s="43"/>
      <c r="G22" s="44"/>
    </row>
    <row r="24" spans="1:17" ht="32.450000000000003" customHeight="1" x14ac:dyDescent="0.45">
      <c r="A24" s="31"/>
      <c r="B24" s="20"/>
      <c r="C24" s="21"/>
      <c r="D24" s="25"/>
      <c r="E24" s="22"/>
      <c r="F24" s="22"/>
      <c r="G24" s="22"/>
      <c r="H24" s="26"/>
      <c r="I24" s="24"/>
      <c r="J24" s="27"/>
      <c r="K24" s="28"/>
      <c r="L24" s="28"/>
      <c r="M24" s="28"/>
      <c r="N24" s="28"/>
      <c r="O24" s="28"/>
      <c r="P24" s="29"/>
      <c r="Q24" s="30"/>
    </row>
    <row r="25" spans="1:17" x14ac:dyDescent="0.45">
      <c r="E25" s="30"/>
    </row>
    <row r="26" spans="1:17" x14ac:dyDescent="0.45">
      <c r="E26" s="30"/>
      <c r="I26" s="126"/>
      <c r="K26" s="43"/>
    </row>
    <row r="27" spans="1:17" x14ac:dyDescent="0.45">
      <c r="E27" s="30"/>
    </row>
  </sheetData>
  <mergeCells count="7">
    <mergeCell ref="A1:I1"/>
    <mergeCell ref="A2:I2"/>
    <mergeCell ref="A3:I3"/>
    <mergeCell ref="A5:I5"/>
    <mergeCell ref="I6:I7"/>
    <mergeCell ref="E6:E7"/>
    <mergeCell ref="G6:G7"/>
  </mergeCells>
  <phoneticPr fontId="29" type="noConversion"/>
  <printOptions horizontalCentered="1"/>
  <pageMargins left="0.39370078740157483" right="0.39370078740157483" top="0.55118110236220474" bottom="0.35433070866141736" header="0.31496062992125984" footer="0.31496062992125984"/>
  <pageSetup paperSize="9" scale="80" orientation="portrait" r:id="rId1"/>
  <headerFooter>
    <oddFooter xml:space="preserve">&amp;C&amp;"B Nazanin,Regular"&amp;P&amp;"Calibri,Regular"  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T34"/>
  <sheetViews>
    <sheetView rightToLeft="1" view="pageBreakPreview" topLeftCell="A7" zoomScaleNormal="100" zoomScaleSheetLayoutView="100" workbookViewId="0">
      <selection activeCell="A3" sqref="A3:Y3"/>
    </sheetView>
  </sheetViews>
  <sheetFormatPr defaultColWidth="9.125" defaultRowHeight="18" x14ac:dyDescent="0.45"/>
  <cols>
    <col min="1" max="1" width="35.375" style="45" customWidth="1"/>
    <col min="2" max="2" width="0.375" style="45" customWidth="1"/>
    <col min="3" max="3" width="6" style="45" customWidth="1"/>
    <col min="4" max="4" width="0.375" style="45" customWidth="1"/>
    <col min="5" max="5" width="18.75" style="45" customWidth="1"/>
    <col min="6" max="6" width="0.375" style="45" customWidth="1"/>
    <col min="7" max="7" width="19.375" style="45" customWidth="1"/>
    <col min="8" max="8" width="0.375" style="45" customWidth="1"/>
    <col min="9" max="9" width="6.875" style="45" customWidth="1"/>
    <col min="10" max="10" width="0.375" style="45" customWidth="1"/>
    <col min="11" max="11" width="15.25" style="45" customWidth="1"/>
    <col min="12" max="12" width="0.375" style="45" customWidth="1"/>
    <col min="13" max="13" width="6.375" style="45" customWidth="1"/>
    <col min="14" max="14" width="0.375" style="45" customWidth="1"/>
    <col min="15" max="15" width="16.625" style="45" customWidth="1"/>
    <col min="16" max="16" width="0.375" style="45" customWidth="1"/>
    <col min="17" max="17" width="4.75" style="45" customWidth="1"/>
    <col min="18" max="18" width="0.375" style="45" customWidth="1"/>
    <col min="19" max="19" width="18" style="45" customWidth="1"/>
    <col min="20" max="20" width="0.375" style="45" customWidth="1"/>
    <col min="21" max="21" width="18" style="45" customWidth="1"/>
    <col min="22" max="22" width="0.375" style="45" customWidth="1"/>
    <col min="23" max="23" width="17.5" style="45" customWidth="1"/>
    <col min="24" max="24" width="1" style="45" customWidth="1"/>
    <col min="25" max="25" width="9.625" style="105" customWidth="1"/>
    <col min="26" max="26" width="21.375" style="45" hidden="1" customWidth="1"/>
    <col min="27" max="27" width="13.125" style="45" hidden="1" customWidth="1"/>
    <col min="28" max="28" width="13" style="45" hidden="1" customWidth="1"/>
    <col min="29" max="29" width="0" style="45" hidden="1" customWidth="1"/>
    <col min="30" max="30" width="11.25" style="45" hidden="1" customWidth="1"/>
    <col min="31" max="31" width="0.625" style="45" customWidth="1"/>
    <col min="32" max="16384" width="9.125" style="45"/>
  </cols>
  <sheetData>
    <row r="1" spans="1:46" ht="30" customHeight="1" x14ac:dyDescent="0.45">
      <c r="A1" s="337" t="str">
        <f>تیتر!B1</f>
        <v>صندوق سرمایه گذاری املاک و مستغلات خانه آگاه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</row>
    <row r="2" spans="1:46" ht="30" customHeight="1" x14ac:dyDescent="0.45">
      <c r="A2" s="337" t="str">
        <f>تیتر!B2</f>
        <v>صورت وضعیت پورتفوی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W2" s="338"/>
      <c r="X2" s="338"/>
      <c r="Y2" s="338"/>
    </row>
    <row r="3" spans="1:46" ht="30" customHeight="1" x14ac:dyDescent="0.45">
      <c r="A3" s="337" t="str">
        <f>تیتر!B3</f>
        <v>برای ماه منتهی به 1405/04/31</v>
      </c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338"/>
      <c r="X3" s="338"/>
      <c r="Y3" s="338"/>
    </row>
    <row r="5" spans="1:46" ht="6.75" customHeight="1" x14ac:dyDescent="0.45">
      <c r="A5" s="339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</row>
    <row r="6" spans="1:46" s="56" customFormat="1" ht="33" customHeight="1" x14ac:dyDescent="0.55000000000000004">
      <c r="A6" s="340" t="s">
        <v>73</v>
      </c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W6" s="341"/>
      <c r="X6" s="341"/>
      <c r="Y6" s="341"/>
    </row>
    <row r="7" spans="1:46" ht="18.75" x14ac:dyDescent="0.45">
      <c r="Z7" s="3"/>
      <c r="AB7" s="3"/>
      <c r="AD7" s="3"/>
      <c r="AM7" s="6"/>
      <c r="AN7" s="3"/>
      <c r="AP7" s="3"/>
      <c r="AR7" s="3"/>
      <c r="AT7" s="3"/>
    </row>
    <row r="8" spans="1:46" ht="21" x14ac:dyDescent="0.45">
      <c r="A8" s="131"/>
      <c r="B8" s="131"/>
      <c r="C8" s="342" t="str">
        <f>تیتر!A5</f>
        <v>1404/03/31</v>
      </c>
      <c r="D8" s="343"/>
      <c r="E8" s="343"/>
      <c r="F8" s="343"/>
      <c r="G8" s="343"/>
      <c r="H8" s="131"/>
      <c r="I8" s="342" t="s">
        <v>0</v>
      </c>
      <c r="J8" s="342"/>
      <c r="K8" s="344"/>
      <c r="L8" s="344"/>
      <c r="M8" s="344"/>
      <c r="N8" s="344"/>
      <c r="O8" s="344"/>
      <c r="P8" s="131"/>
      <c r="Q8" s="342" t="str">
        <f>تیتر!B5</f>
        <v>1405/04/31</v>
      </c>
      <c r="R8" s="343"/>
      <c r="S8" s="343"/>
      <c r="T8" s="343"/>
      <c r="U8" s="343"/>
      <c r="V8" s="343"/>
      <c r="W8" s="343"/>
      <c r="X8" s="343"/>
      <c r="Y8" s="343"/>
      <c r="Z8" s="3"/>
      <c r="AB8" s="3"/>
      <c r="AD8" s="3"/>
      <c r="AM8" s="6"/>
      <c r="AN8" s="3"/>
      <c r="AP8" s="3"/>
      <c r="AR8" s="3"/>
      <c r="AT8" s="3"/>
    </row>
    <row r="9" spans="1:46" ht="28.5" customHeight="1" x14ac:dyDescent="0.45">
      <c r="A9" s="345" t="s">
        <v>1</v>
      </c>
      <c r="B9" s="131"/>
      <c r="C9" s="345" t="s">
        <v>2</v>
      </c>
      <c r="D9" s="131"/>
      <c r="E9" s="347" t="s">
        <v>3</v>
      </c>
      <c r="F9" s="131"/>
      <c r="G9" s="347" t="s">
        <v>4</v>
      </c>
      <c r="H9" s="131"/>
      <c r="I9" s="349" t="s">
        <v>5</v>
      </c>
      <c r="J9" s="349"/>
      <c r="K9" s="350"/>
      <c r="L9" s="131"/>
      <c r="M9" s="349" t="s">
        <v>6</v>
      </c>
      <c r="N9" s="349"/>
      <c r="O9" s="350"/>
      <c r="P9" s="131"/>
      <c r="Q9" s="345" t="s">
        <v>2</v>
      </c>
      <c r="R9" s="131"/>
      <c r="S9" s="351" t="s">
        <v>155</v>
      </c>
      <c r="T9" s="131"/>
      <c r="U9" s="345" t="s">
        <v>3</v>
      </c>
      <c r="V9" s="131"/>
      <c r="W9" s="345" t="s">
        <v>4</v>
      </c>
      <c r="X9" s="132"/>
      <c r="Y9" s="352" t="s">
        <v>8</v>
      </c>
      <c r="Z9" s="3"/>
      <c r="AB9" s="3"/>
      <c r="AD9" s="3"/>
      <c r="AM9" s="6"/>
      <c r="AN9" s="3"/>
      <c r="AP9" s="3"/>
      <c r="AR9" s="3"/>
      <c r="AT9" s="3"/>
    </row>
    <row r="10" spans="1:46" ht="28.5" customHeight="1" x14ac:dyDescent="0.45">
      <c r="A10" s="346"/>
      <c r="B10" s="131"/>
      <c r="C10" s="346"/>
      <c r="D10" s="131"/>
      <c r="E10" s="348"/>
      <c r="F10" s="131"/>
      <c r="G10" s="348"/>
      <c r="H10" s="131"/>
      <c r="I10" s="133" t="s">
        <v>2</v>
      </c>
      <c r="J10" s="133"/>
      <c r="K10" s="133" t="s">
        <v>3</v>
      </c>
      <c r="L10" s="131"/>
      <c r="M10" s="133" t="s">
        <v>2</v>
      </c>
      <c r="N10" s="133"/>
      <c r="O10" s="133" t="s">
        <v>149</v>
      </c>
      <c r="P10" s="131"/>
      <c r="Q10" s="346"/>
      <c r="R10" s="131"/>
      <c r="S10" s="346"/>
      <c r="T10" s="131"/>
      <c r="U10" s="346"/>
      <c r="V10" s="131"/>
      <c r="W10" s="346"/>
      <c r="X10" s="133"/>
      <c r="Y10" s="353"/>
      <c r="Z10" s="3"/>
      <c r="AB10" s="3"/>
      <c r="AD10" s="3"/>
      <c r="AM10" s="6"/>
      <c r="AN10" s="3"/>
      <c r="AP10" s="3"/>
      <c r="AR10" s="3"/>
      <c r="AT10" s="3"/>
    </row>
    <row r="11" spans="1:46" ht="23.25" customHeight="1" x14ac:dyDescent="0.45">
      <c r="A11" s="106"/>
      <c r="B11" s="131"/>
      <c r="C11" s="106"/>
      <c r="D11" s="131"/>
      <c r="E11" s="106" t="s">
        <v>47</v>
      </c>
      <c r="F11" s="131"/>
      <c r="G11" s="106" t="s">
        <v>47</v>
      </c>
      <c r="H11" s="131"/>
      <c r="I11" s="106"/>
      <c r="J11" s="106"/>
      <c r="K11" s="106" t="s">
        <v>47</v>
      </c>
      <c r="L11" s="131"/>
      <c r="M11" s="106"/>
      <c r="N11" s="106"/>
      <c r="O11" s="106" t="s">
        <v>47</v>
      </c>
      <c r="P11" s="131"/>
      <c r="Q11" s="106"/>
      <c r="R11" s="131"/>
      <c r="S11" s="106" t="s">
        <v>47</v>
      </c>
      <c r="T11" s="131"/>
      <c r="U11" s="106" t="s">
        <v>47</v>
      </c>
      <c r="V11" s="131"/>
      <c r="W11" s="106" t="s">
        <v>47</v>
      </c>
      <c r="X11" s="106"/>
      <c r="Y11" s="134"/>
      <c r="Z11" s="3"/>
      <c r="AB11" s="3"/>
      <c r="AD11" s="3"/>
      <c r="AM11" s="6"/>
      <c r="AN11" s="3"/>
      <c r="AP11" s="3"/>
      <c r="AR11" s="3"/>
      <c r="AT11" s="3"/>
    </row>
    <row r="12" spans="1:46" ht="30.75" customHeight="1" x14ac:dyDescent="0.45">
      <c r="A12" s="152" t="s">
        <v>97</v>
      </c>
      <c r="B12" s="131"/>
      <c r="C12" s="176">
        <v>1</v>
      </c>
      <c r="D12" s="233"/>
      <c r="E12" s="106">
        <v>265561400000</v>
      </c>
      <c r="F12" s="238"/>
      <c r="G12" s="106">
        <v>265561400000</v>
      </c>
      <c r="H12" s="233"/>
      <c r="I12" s="176">
        <v>0</v>
      </c>
      <c r="J12" s="106"/>
      <c r="K12" s="106">
        <v>0</v>
      </c>
      <c r="L12" s="233"/>
      <c r="M12" s="187">
        <v>0</v>
      </c>
      <c r="N12" s="187"/>
      <c r="O12" s="187">
        <v>0</v>
      </c>
      <c r="P12" s="176"/>
      <c r="Q12" s="176">
        <v>1</v>
      </c>
      <c r="R12" s="233"/>
      <c r="S12" s="106">
        <v>0</v>
      </c>
      <c r="T12" s="233"/>
      <c r="U12" s="106">
        <v>265561400000</v>
      </c>
      <c r="V12" s="106"/>
      <c r="W12" s="106">
        <v>265561400000</v>
      </c>
      <c r="X12" s="106"/>
      <c r="Y12" s="189">
        <f>W12/'سرمایه گذاری ها  '!$I$20*100</f>
        <v>3.9314859632552532</v>
      </c>
      <c r="Z12" s="3"/>
      <c r="AB12" s="3"/>
      <c r="AD12" s="3"/>
      <c r="AM12" s="6"/>
      <c r="AN12" s="3"/>
      <c r="AP12" s="3"/>
      <c r="AR12" s="3"/>
      <c r="AT12" s="3"/>
    </row>
    <row r="13" spans="1:46" ht="30.75" customHeight="1" x14ac:dyDescent="0.45">
      <c r="A13" s="152" t="s">
        <v>98</v>
      </c>
      <c r="B13" s="131"/>
      <c r="C13" s="176">
        <v>1</v>
      </c>
      <c r="D13" s="233"/>
      <c r="E13" s="106">
        <v>278561400000</v>
      </c>
      <c r="F13" s="238"/>
      <c r="G13" s="106">
        <v>278561400000</v>
      </c>
      <c r="H13" s="233"/>
      <c r="I13" s="176">
        <v>0</v>
      </c>
      <c r="J13" s="106"/>
      <c r="K13" s="106">
        <v>0</v>
      </c>
      <c r="L13" s="233"/>
      <c r="M13" s="187">
        <v>0</v>
      </c>
      <c r="N13" s="187"/>
      <c r="O13" s="187">
        <v>0</v>
      </c>
      <c r="P13" s="176"/>
      <c r="Q13" s="176">
        <v>1</v>
      </c>
      <c r="R13" s="233"/>
      <c r="S13" s="106">
        <v>0</v>
      </c>
      <c r="T13" s="233"/>
      <c r="U13" s="106">
        <v>278561400000</v>
      </c>
      <c r="V13" s="106"/>
      <c r="W13" s="106">
        <v>278561400000</v>
      </c>
      <c r="X13" s="106"/>
      <c r="Y13" s="189">
        <f>W13/'سرمایه گذاری ها  '!$I$20*100</f>
        <v>4.1239435927236858</v>
      </c>
      <c r="Z13" s="3"/>
      <c r="AB13" s="3"/>
      <c r="AD13" s="3"/>
      <c r="AM13" s="6"/>
      <c r="AN13" s="3"/>
      <c r="AP13" s="3"/>
      <c r="AR13" s="3"/>
      <c r="AT13" s="3"/>
    </row>
    <row r="14" spans="1:46" ht="30.75" customHeight="1" x14ac:dyDescent="0.45">
      <c r="A14" s="152" t="s">
        <v>99</v>
      </c>
      <c r="B14" s="131"/>
      <c r="C14" s="176">
        <v>1</v>
      </c>
      <c r="D14" s="233"/>
      <c r="E14" s="106">
        <v>279561400000</v>
      </c>
      <c r="F14" s="238"/>
      <c r="G14" s="106">
        <v>279561400000</v>
      </c>
      <c r="H14" s="233"/>
      <c r="I14" s="176">
        <v>0</v>
      </c>
      <c r="J14" s="106"/>
      <c r="K14" s="106">
        <v>0</v>
      </c>
      <c r="L14" s="233"/>
      <c r="M14" s="187">
        <v>0</v>
      </c>
      <c r="N14" s="187"/>
      <c r="O14" s="187">
        <v>0</v>
      </c>
      <c r="P14" s="176"/>
      <c r="Q14" s="176">
        <v>1</v>
      </c>
      <c r="R14" s="233"/>
      <c r="S14" s="106">
        <v>0</v>
      </c>
      <c r="T14" s="233"/>
      <c r="U14" s="106">
        <v>279561400000</v>
      </c>
      <c r="V14" s="106"/>
      <c r="W14" s="106">
        <v>279561400000</v>
      </c>
      <c r="X14" s="106"/>
      <c r="Y14" s="189">
        <f>W14/'سرمایه گذاری ها  '!$I$20*100</f>
        <v>4.1387480257597193</v>
      </c>
      <c r="Z14" s="3"/>
      <c r="AB14" s="3"/>
      <c r="AD14" s="3"/>
      <c r="AM14" s="6"/>
      <c r="AN14" s="3"/>
      <c r="AP14" s="3"/>
      <c r="AR14" s="3"/>
      <c r="AT14" s="3"/>
    </row>
    <row r="15" spans="1:46" ht="30.75" customHeight="1" x14ac:dyDescent="0.45">
      <c r="A15" s="152" t="s">
        <v>100</v>
      </c>
      <c r="B15" s="131"/>
      <c r="C15" s="176">
        <v>1</v>
      </c>
      <c r="D15" s="233"/>
      <c r="E15" s="106">
        <v>279561400000</v>
      </c>
      <c r="F15" s="238"/>
      <c r="G15" s="106">
        <v>279561400000</v>
      </c>
      <c r="H15" s="233"/>
      <c r="I15" s="176">
        <v>0</v>
      </c>
      <c r="J15" s="106"/>
      <c r="K15" s="106">
        <v>0</v>
      </c>
      <c r="L15" s="233"/>
      <c r="M15" s="187">
        <v>0</v>
      </c>
      <c r="N15" s="187"/>
      <c r="O15" s="187">
        <v>0</v>
      </c>
      <c r="P15" s="176"/>
      <c r="Q15" s="176">
        <v>1</v>
      </c>
      <c r="R15" s="233"/>
      <c r="S15" s="106">
        <v>0</v>
      </c>
      <c r="T15" s="233"/>
      <c r="U15" s="106">
        <v>279561400000</v>
      </c>
      <c r="V15" s="106"/>
      <c r="W15" s="106">
        <v>279561400000</v>
      </c>
      <c r="X15" s="106"/>
      <c r="Y15" s="189">
        <f>W15/'سرمایه گذاری ها  '!$I$20*100</f>
        <v>4.1387480257597193</v>
      </c>
      <c r="Z15" s="3"/>
      <c r="AB15" s="3"/>
      <c r="AD15" s="3">
        <v>170297269</v>
      </c>
      <c r="AM15" s="6"/>
      <c r="AN15" s="3"/>
      <c r="AP15" s="3"/>
      <c r="AR15" s="3"/>
      <c r="AT15" s="3"/>
    </row>
    <row r="16" spans="1:46" ht="30.75" customHeight="1" x14ac:dyDescent="0.45">
      <c r="A16" s="194" t="s">
        <v>101</v>
      </c>
      <c r="C16" s="176">
        <v>1</v>
      </c>
      <c r="D16" s="155"/>
      <c r="E16" s="106">
        <v>279561400000</v>
      </c>
      <c r="F16" s="239"/>
      <c r="G16" s="106">
        <v>279561400000</v>
      </c>
      <c r="H16" s="155"/>
      <c r="I16" s="176">
        <v>0</v>
      </c>
      <c r="J16" s="155"/>
      <c r="K16" s="106">
        <v>0</v>
      </c>
      <c r="L16" s="155"/>
      <c r="M16" s="187">
        <v>0</v>
      </c>
      <c r="N16" s="187"/>
      <c r="O16" s="187">
        <v>0</v>
      </c>
      <c r="P16" s="176"/>
      <c r="Q16" s="176">
        <v>1</v>
      </c>
      <c r="R16" s="155"/>
      <c r="S16" s="106">
        <v>0</v>
      </c>
      <c r="T16" s="155"/>
      <c r="U16" s="106">
        <v>279561400000</v>
      </c>
      <c r="V16" s="106"/>
      <c r="W16" s="106">
        <v>279561400000</v>
      </c>
      <c r="X16" s="155"/>
      <c r="Y16" s="189">
        <f>W16/'سرمایه گذاری ها  '!$I$20*100</f>
        <v>4.1387480257597193</v>
      </c>
      <c r="Z16" s="3"/>
      <c r="AB16" s="3"/>
      <c r="AD16" s="3">
        <v>141477731</v>
      </c>
      <c r="AM16" s="6"/>
      <c r="AN16" s="3"/>
      <c r="AP16" s="3"/>
      <c r="AR16" s="3"/>
      <c r="AT16" s="3"/>
    </row>
    <row r="17" spans="1:28" ht="30.75" customHeight="1" x14ac:dyDescent="0.45">
      <c r="A17" s="194" t="s">
        <v>103</v>
      </c>
      <c r="C17" s="176">
        <v>1</v>
      </c>
      <c r="D17" s="155"/>
      <c r="E17" s="106">
        <v>535747500000</v>
      </c>
      <c r="F17" s="155"/>
      <c r="G17" s="106">
        <v>535747500000</v>
      </c>
      <c r="H17" s="155"/>
      <c r="I17" s="176">
        <v>0</v>
      </c>
      <c r="J17" s="106"/>
      <c r="K17" s="186">
        <v>0</v>
      </c>
      <c r="L17" s="155"/>
      <c r="M17" s="187">
        <v>0</v>
      </c>
      <c r="N17" s="155"/>
      <c r="O17" s="187">
        <v>0</v>
      </c>
      <c r="P17" s="155"/>
      <c r="Q17" s="176">
        <v>1</v>
      </c>
      <c r="R17" s="155"/>
      <c r="S17" s="106">
        <v>0</v>
      </c>
      <c r="T17" s="155"/>
      <c r="U17" s="106">
        <v>535747500000</v>
      </c>
      <c r="V17" s="106"/>
      <c r="W17" s="106">
        <v>535747500000</v>
      </c>
      <c r="X17" s="155"/>
      <c r="Y17" s="189">
        <f>W17/'سرمایه گذاری ها  '!$I$20*100</f>
        <v>7.9314379879722496</v>
      </c>
      <c r="Z17" s="55">
        <v>194822609879</v>
      </c>
      <c r="AA17" s="55">
        <v>170299445803</v>
      </c>
      <c r="AB17" s="55">
        <f>Z17+AA17</f>
        <v>365122055682</v>
      </c>
    </row>
    <row r="18" spans="1:28" ht="30.75" customHeight="1" x14ac:dyDescent="0.45">
      <c r="A18" s="194" t="s">
        <v>123</v>
      </c>
      <c r="C18" s="176">
        <v>1</v>
      </c>
      <c r="D18" s="155"/>
      <c r="E18" s="106">
        <v>80374412500</v>
      </c>
      <c r="F18" s="155"/>
      <c r="G18" s="106">
        <v>80374412500</v>
      </c>
      <c r="H18" s="155"/>
      <c r="I18" s="176">
        <v>0</v>
      </c>
      <c r="J18" s="106"/>
      <c r="K18" s="186">
        <v>0</v>
      </c>
      <c r="L18" s="155"/>
      <c r="M18" s="187">
        <v>0</v>
      </c>
      <c r="N18" s="155"/>
      <c r="O18" s="187">
        <v>0</v>
      </c>
      <c r="P18" s="155"/>
      <c r="Q18" s="176">
        <v>1</v>
      </c>
      <c r="R18" s="155"/>
      <c r="S18" s="186">
        <v>0</v>
      </c>
      <c r="T18" s="155"/>
      <c r="U18" s="186">
        <v>80374412500</v>
      </c>
      <c r="V18" s="106"/>
      <c r="W18" s="186">
        <v>80374412500</v>
      </c>
      <c r="X18" s="155"/>
      <c r="Y18" s="189">
        <f>W18/'سرمایه گذاری ها  '!$I$20*100</f>
        <v>1.1898976076667676</v>
      </c>
      <c r="AA18" s="55"/>
    </row>
    <row r="19" spans="1:28" ht="30.75" customHeight="1" x14ac:dyDescent="0.45">
      <c r="A19" s="194" t="s">
        <v>126</v>
      </c>
      <c r="C19" s="176">
        <v>1</v>
      </c>
      <c r="D19" s="155"/>
      <c r="E19" s="106">
        <v>433049971462</v>
      </c>
      <c r="F19" s="155"/>
      <c r="G19" s="106">
        <v>433049971462</v>
      </c>
      <c r="H19" s="155"/>
      <c r="I19" s="176">
        <v>0</v>
      </c>
      <c r="J19" s="106"/>
      <c r="K19" s="186">
        <v>0</v>
      </c>
      <c r="L19" s="155"/>
      <c r="M19" s="187">
        <v>0</v>
      </c>
      <c r="N19" s="155"/>
      <c r="O19" s="187">
        <v>0</v>
      </c>
      <c r="P19" s="155"/>
      <c r="Q19" s="176">
        <v>1</v>
      </c>
      <c r="R19" s="155"/>
      <c r="S19" s="186">
        <v>0</v>
      </c>
      <c r="T19" s="155"/>
      <c r="U19" s="186">
        <v>433049971462</v>
      </c>
      <c r="V19" s="106"/>
      <c r="W19" s="186">
        <v>433049971462</v>
      </c>
      <c r="X19" s="155"/>
      <c r="Y19" s="189">
        <f>W19/'سرمایه گذاری ها  '!$I$20*100</f>
        <v>6.4110593037653096</v>
      </c>
      <c r="Z19" s="55">
        <f>G19-W19</f>
        <v>0</v>
      </c>
      <c r="AA19" s="55"/>
    </row>
    <row r="20" spans="1:28" s="269" customFormat="1" ht="30.75" customHeight="1" x14ac:dyDescent="0.45">
      <c r="A20" s="194" t="s">
        <v>137</v>
      </c>
      <c r="C20" s="176">
        <v>1</v>
      </c>
      <c r="D20" s="155"/>
      <c r="E20" s="186">
        <v>1610964051109</v>
      </c>
      <c r="F20" s="106"/>
      <c r="G20" s="186">
        <v>1610964051109</v>
      </c>
      <c r="H20" s="155"/>
      <c r="I20" s="176">
        <v>0</v>
      </c>
      <c r="J20" s="106"/>
      <c r="K20" s="186">
        <v>0</v>
      </c>
      <c r="L20" s="155"/>
      <c r="M20" s="187">
        <v>0</v>
      </c>
      <c r="N20" s="155"/>
      <c r="O20" s="187">
        <v>0</v>
      </c>
      <c r="P20" s="155"/>
      <c r="Q20" s="176">
        <v>1</v>
      </c>
      <c r="R20" s="155"/>
      <c r="S20" s="186">
        <v>0</v>
      </c>
      <c r="T20" s="155"/>
      <c r="U20" s="186">
        <v>1610964051109</v>
      </c>
      <c r="V20" s="106"/>
      <c r="W20" s="186">
        <v>1610964051109</v>
      </c>
      <c r="X20" s="155"/>
      <c r="Y20" s="189">
        <f>W20/'سرمایه گذاری ها  '!$I$20*100</f>
        <v>23.849409418100116</v>
      </c>
      <c r="Z20" s="55"/>
      <c r="AA20" s="55"/>
    </row>
    <row r="21" spans="1:28" ht="25.5" customHeight="1" thickBot="1" x14ac:dyDescent="0.5">
      <c r="A21" s="129"/>
      <c r="B21" s="131"/>
      <c r="C21" s="181"/>
      <c r="D21" s="161"/>
      <c r="E21" s="215">
        <f>SUM(E12:E20)</f>
        <v>4042942935071</v>
      </c>
      <c r="F21" s="188"/>
      <c r="G21" s="215">
        <f>SUM(G12:G20)</f>
        <v>4042942935071</v>
      </c>
      <c r="H21" s="176"/>
      <c r="I21" s="240"/>
      <c r="J21" s="176"/>
      <c r="K21" s="215">
        <f>SUM(K12:K20)</f>
        <v>0</v>
      </c>
      <c r="L21" s="187"/>
      <c r="M21" s="240"/>
      <c r="N21" s="187"/>
      <c r="O21" s="215">
        <f>SUBTOTAL(9,O12:O20)</f>
        <v>0</v>
      </c>
      <c r="P21" s="176"/>
      <c r="Q21" s="240"/>
      <c r="R21" s="176"/>
      <c r="S21" s="215">
        <f>SUM(S12:S20)</f>
        <v>0</v>
      </c>
      <c r="T21" s="176"/>
      <c r="U21" s="215">
        <f>SUM(U12:U20)</f>
        <v>4042942935071</v>
      </c>
      <c r="V21" s="176"/>
      <c r="W21" s="215">
        <f>SUM(W12:W20)</f>
        <v>4042942935071</v>
      </c>
      <c r="X21" s="176"/>
      <c r="Y21" s="190">
        <f>SUM(Y12:Y20)</f>
        <v>59.853477950762546</v>
      </c>
      <c r="Z21" s="55">
        <f>G21-W21</f>
        <v>0</v>
      </c>
    </row>
    <row r="22" spans="1:28" ht="19.5" thickTop="1" x14ac:dyDescent="0.45">
      <c r="J22" s="83"/>
      <c r="L22" s="84"/>
      <c r="X22" s="3"/>
    </row>
    <row r="23" spans="1:28" ht="18.75" x14ac:dyDescent="0.45">
      <c r="A23" s="336" t="s">
        <v>148</v>
      </c>
      <c r="B23" s="336"/>
      <c r="C23" s="336"/>
      <c r="D23" s="336"/>
      <c r="E23" s="336"/>
      <c r="F23" s="336"/>
      <c r="G23" s="336"/>
      <c r="H23" s="336"/>
      <c r="I23" s="336"/>
      <c r="J23" s="336"/>
      <c r="K23" s="336"/>
      <c r="L23" s="336"/>
      <c r="M23" s="336"/>
      <c r="N23" s="336"/>
      <c r="O23" s="336"/>
      <c r="P23" s="336"/>
      <c r="Q23" s="336"/>
      <c r="R23" s="336"/>
      <c r="S23" s="336"/>
      <c r="T23" s="336"/>
      <c r="U23" s="336"/>
      <c r="W23" s="3"/>
      <c r="X23" s="3"/>
    </row>
    <row r="24" spans="1:28" ht="18.75" x14ac:dyDescent="0.45">
      <c r="J24" s="83"/>
      <c r="W24" s="55"/>
    </row>
    <row r="25" spans="1:28" hidden="1" x14ac:dyDescent="0.45">
      <c r="G25" s="55">
        <v>2363739193182</v>
      </c>
      <c r="W25" s="55">
        <v>3498596486728</v>
      </c>
    </row>
    <row r="26" spans="1:28" hidden="1" x14ac:dyDescent="0.45">
      <c r="G26" s="55">
        <f>G21-G25</f>
        <v>1679203741889</v>
      </c>
      <c r="W26" s="55">
        <f>W21-W25</f>
        <v>544346448343</v>
      </c>
    </row>
    <row r="27" spans="1:28" hidden="1" x14ac:dyDescent="0.45">
      <c r="G27" s="55">
        <v>3298594058421</v>
      </c>
      <c r="W27" s="55">
        <v>3299723783421</v>
      </c>
    </row>
    <row r="28" spans="1:28" hidden="1" x14ac:dyDescent="0.45">
      <c r="G28" s="55">
        <f>G21-G27</f>
        <v>744348876650</v>
      </c>
      <c r="W28" s="55">
        <f>W21-W27</f>
        <v>743219151650</v>
      </c>
    </row>
    <row r="32" spans="1:28" ht="18.75" x14ac:dyDescent="0.45">
      <c r="E32" s="106"/>
    </row>
    <row r="33" spans="5:19" x14ac:dyDescent="0.45">
      <c r="E33" s="55"/>
      <c r="S33" s="48"/>
    </row>
    <row r="34" spans="5:19" x14ac:dyDescent="0.45">
      <c r="E34" s="55"/>
    </row>
  </sheetData>
  <mergeCells count="20">
    <mergeCell ref="S9:S10"/>
    <mergeCell ref="U9:U10"/>
    <mergeCell ref="W9:W10"/>
    <mergeCell ref="Y9:Y10"/>
    <mergeCell ref="A23:U23"/>
    <mergeCell ref="A1:Y1"/>
    <mergeCell ref="A2:Y2"/>
    <mergeCell ref="A3:Y3"/>
    <mergeCell ref="A5:Y5"/>
    <mergeCell ref="A6:Y6"/>
    <mergeCell ref="C8:G8"/>
    <mergeCell ref="I8:O8"/>
    <mergeCell ref="Q8:Y8"/>
    <mergeCell ref="A9:A10"/>
    <mergeCell ref="C9:C10"/>
    <mergeCell ref="E9:E10"/>
    <mergeCell ref="G9:G10"/>
    <mergeCell ref="I9:K9"/>
    <mergeCell ref="M9:O9"/>
    <mergeCell ref="Q9:Q10"/>
  </mergeCells>
  <printOptions horizontalCentered="1"/>
  <pageMargins left="0.31496062992125984" right="0.31496062992125984" top="0.47244094488188981" bottom="0.39370078740157483" header="0.31496062992125984" footer="0.31496062992125984"/>
  <pageSetup paperSize="9" scale="6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T29"/>
  <sheetViews>
    <sheetView rightToLeft="1" view="pageBreakPreview" zoomScale="90" zoomScaleNormal="100" zoomScaleSheetLayoutView="90" workbookViewId="0">
      <selection activeCell="G19" sqref="G19"/>
    </sheetView>
  </sheetViews>
  <sheetFormatPr defaultColWidth="9.125" defaultRowHeight="18" x14ac:dyDescent="0.45"/>
  <cols>
    <col min="1" max="1" width="29.25" style="45" customWidth="1"/>
    <col min="2" max="2" width="1.375" style="45" customWidth="1"/>
    <col min="3" max="3" width="11.375" style="45" customWidth="1"/>
    <col min="4" max="4" width="1.375" style="45" customWidth="1"/>
    <col min="5" max="5" width="16.875" style="45" customWidth="1"/>
    <col min="6" max="6" width="1" style="45" customWidth="1"/>
    <col min="7" max="7" width="15.25" style="45" customWidth="1"/>
    <col min="8" max="8" width="0.875" style="45" customWidth="1"/>
    <col min="9" max="9" width="8.75" style="45" customWidth="1"/>
    <col min="10" max="10" width="0.375" style="45" customWidth="1"/>
    <col min="11" max="11" width="15.25" style="45" bestFit="1" customWidth="1"/>
    <col min="12" max="12" width="1" style="45" customWidth="1"/>
    <col min="13" max="13" width="8.875" style="45" customWidth="1"/>
    <col min="14" max="14" width="1" style="45" customWidth="1"/>
    <col min="15" max="15" width="12.625" style="45" customWidth="1"/>
    <col min="16" max="16" width="1.125" style="45" customWidth="1"/>
    <col min="17" max="17" width="13.625" style="45" customWidth="1"/>
    <col min="18" max="18" width="0.375" style="45" customWidth="1"/>
    <col min="19" max="19" width="8.75" style="45" customWidth="1"/>
    <col min="20" max="20" width="0.875" style="45" customWidth="1"/>
    <col min="21" max="21" width="16.375" style="45" customWidth="1"/>
    <col min="22" max="22" width="0.625" style="45" customWidth="1"/>
    <col min="23" max="23" width="15" style="45" customWidth="1"/>
    <col min="24" max="24" width="1" style="45" customWidth="1"/>
    <col min="25" max="25" width="10.375" style="105" customWidth="1"/>
    <col min="26" max="26" width="3.25" style="45" customWidth="1"/>
    <col min="27" max="27" width="9.125" style="45" customWidth="1"/>
    <col min="28" max="16384" width="9.125" style="45"/>
  </cols>
  <sheetData>
    <row r="1" spans="1:46" ht="27.75" customHeight="1" x14ac:dyDescent="0.45">
      <c r="A1" s="337" t="str">
        <f>تیتر!B1</f>
        <v>صندوق سرمایه گذاری املاک و مستغلات خانه آگاه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</row>
    <row r="2" spans="1:46" ht="27.75" customHeight="1" x14ac:dyDescent="0.45">
      <c r="A2" s="337" t="str">
        <f>تیتر!B2</f>
        <v>صورت وضعیت پورتفوی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W2" s="338"/>
      <c r="X2" s="338"/>
      <c r="Y2" s="338"/>
    </row>
    <row r="3" spans="1:46" ht="27.75" customHeight="1" x14ac:dyDescent="0.45">
      <c r="A3" s="337" t="str">
        <f>تیتر!B3</f>
        <v>برای ماه منتهی به 1405/04/31</v>
      </c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338"/>
      <c r="X3" s="338"/>
      <c r="Y3" s="338"/>
    </row>
    <row r="5" spans="1:46" ht="16.5" customHeight="1" x14ac:dyDescent="0.45">
      <c r="A5" s="339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</row>
    <row r="6" spans="1:46" s="56" customFormat="1" ht="36.75" customHeight="1" x14ac:dyDescent="0.55000000000000004">
      <c r="A6" s="340" t="s">
        <v>94</v>
      </c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W6" s="341"/>
      <c r="X6" s="341"/>
      <c r="Y6" s="341"/>
    </row>
    <row r="7" spans="1:46" ht="18.75" x14ac:dyDescent="0.45">
      <c r="Z7" s="3"/>
      <c r="AB7" s="3"/>
      <c r="AD7" s="3"/>
      <c r="AM7" s="6"/>
      <c r="AN7" s="3"/>
      <c r="AP7" s="3"/>
      <c r="AR7" s="3"/>
      <c r="AT7" s="3"/>
    </row>
    <row r="8" spans="1:46" ht="33.75" customHeight="1" x14ac:dyDescent="0.45">
      <c r="C8" s="354" t="str">
        <f>تیتر!A5</f>
        <v>1404/03/31</v>
      </c>
      <c r="D8" s="355"/>
      <c r="E8" s="355"/>
      <c r="F8" s="355"/>
      <c r="G8" s="355"/>
      <c r="I8" s="354" t="s">
        <v>0</v>
      </c>
      <c r="J8" s="354"/>
      <c r="K8" s="356"/>
      <c r="L8" s="356"/>
      <c r="M8" s="356"/>
      <c r="N8" s="356"/>
      <c r="O8" s="356"/>
      <c r="Q8" s="354" t="str">
        <f>تیتر!B5</f>
        <v>1405/04/31</v>
      </c>
      <c r="R8" s="355"/>
      <c r="S8" s="355"/>
      <c r="T8" s="355"/>
      <c r="U8" s="355"/>
      <c r="V8" s="355"/>
      <c r="W8" s="355"/>
      <c r="X8" s="355"/>
      <c r="Y8" s="355"/>
      <c r="Z8" s="3"/>
      <c r="AB8" s="3"/>
      <c r="AD8" s="3"/>
      <c r="AM8" s="6"/>
      <c r="AN8" s="3"/>
      <c r="AP8" s="3"/>
      <c r="AR8" s="3"/>
      <c r="AT8" s="3"/>
    </row>
    <row r="9" spans="1:46" s="135" customFormat="1" ht="25.5" customHeight="1" x14ac:dyDescent="0.5">
      <c r="A9" s="357" t="s">
        <v>1</v>
      </c>
      <c r="C9" s="357" t="s">
        <v>2</v>
      </c>
      <c r="E9" s="357" t="s">
        <v>3</v>
      </c>
      <c r="G9" s="357" t="s">
        <v>4</v>
      </c>
      <c r="I9" s="359" t="s">
        <v>5</v>
      </c>
      <c r="J9" s="359"/>
      <c r="K9" s="360"/>
      <c r="M9" s="359" t="s">
        <v>6</v>
      </c>
      <c r="N9" s="359"/>
      <c r="O9" s="360"/>
      <c r="Q9" s="357" t="s">
        <v>2</v>
      </c>
      <c r="S9" s="361" t="s">
        <v>7</v>
      </c>
      <c r="U9" s="357" t="s">
        <v>3</v>
      </c>
      <c r="W9" s="357" t="s">
        <v>4</v>
      </c>
      <c r="X9" s="138"/>
      <c r="Y9" s="362" t="s">
        <v>8</v>
      </c>
      <c r="Z9" s="139"/>
      <c r="AB9" s="139"/>
      <c r="AD9" s="139"/>
      <c r="AM9" s="138"/>
      <c r="AN9" s="139"/>
      <c r="AP9" s="139"/>
      <c r="AR9" s="139"/>
      <c r="AT9" s="139"/>
    </row>
    <row r="10" spans="1:46" s="135" customFormat="1" ht="25.5" customHeight="1" x14ac:dyDescent="0.5">
      <c r="A10" s="358"/>
      <c r="C10" s="358"/>
      <c r="E10" s="358"/>
      <c r="G10" s="358"/>
      <c r="I10" s="283" t="s">
        <v>2</v>
      </c>
      <c r="J10" s="283"/>
      <c r="K10" s="283" t="s">
        <v>3</v>
      </c>
      <c r="M10" s="283" t="s">
        <v>2</v>
      </c>
      <c r="N10" s="283"/>
      <c r="O10" s="283" t="s">
        <v>9</v>
      </c>
      <c r="Q10" s="358"/>
      <c r="S10" s="358"/>
      <c r="U10" s="358"/>
      <c r="W10" s="358"/>
      <c r="X10" s="283"/>
      <c r="Y10" s="363"/>
      <c r="Z10" s="139"/>
      <c r="AB10" s="139"/>
      <c r="AD10" s="139"/>
      <c r="AM10" s="138"/>
      <c r="AN10" s="139"/>
      <c r="AP10" s="139"/>
      <c r="AR10" s="139"/>
      <c r="AT10" s="139"/>
    </row>
    <row r="11" spans="1:46" ht="21.75" customHeight="1" x14ac:dyDescent="0.45">
      <c r="A11" s="7"/>
      <c r="B11" s="284"/>
      <c r="C11" s="7"/>
      <c r="D11" s="284"/>
      <c r="E11" s="129" t="s">
        <v>47</v>
      </c>
      <c r="F11" s="284"/>
      <c r="G11" s="129" t="s">
        <v>47</v>
      </c>
      <c r="H11" s="284"/>
      <c r="I11" s="129"/>
      <c r="J11" s="7"/>
      <c r="K11" s="129" t="s">
        <v>47</v>
      </c>
      <c r="L11" s="284"/>
      <c r="M11" s="7"/>
      <c r="N11" s="7"/>
      <c r="O11" s="129" t="s">
        <v>47</v>
      </c>
      <c r="P11" s="284"/>
      <c r="Q11" s="7"/>
      <c r="R11" s="284"/>
      <c r="S11" s="129" t="s">
        <v>47</v>
      </c>
      <c r="T11" s="284"/>
      <c r="U11" s="129" t="s">
        <v>47</v>
      </c>
      <c r="V11" s="284"/>
      <c r="W11" s="129" t="s">
        <v>47</v>
      </c>
      <c r="X11" s="7"/>
      <c r="Y11" s="285" t="s">
        <v>43</v>
      </c>
      <c r="Z11" s="3"/>
      <c r="AB11" s="3"/>
      <c r="AD11" s="3"/>
      <c r="AM11" s="6"/>
      <c r="AN11" s="3"/>
      <c r="AP11" s="3"/>
      <c r="AR11" s="3"/>
      <c r="AT11" s="3"/>
    </row>
    <row r="12" spans="1:46" ht="32.25" customHeight="1" x14ac:dyDescent="0.45">
      <c r="A12" s="200" t="s">
        <v>63</v>
      </c>
      <c r="B12" s="286"/>
      <c r="C12" s="287">
        <v>55790022</v>
      </c>
      <c r="D12" s="287"/>
      <c r="E12" s="288">
        <v>68012954392</v>
      </c>
      <c r="F12" s="289"/>
      <c r="G12" s="288">
        <v>84366758058.028595</v>
      </c>
      <c r="H12" s="289"/>
      <c r="I12" s="288">
        <v>23298562</v>
      </c>
      <c r="J12" s="289"/>
      <c r="K12" s="288">
        <v>35973194296</v>
      </c>
      <c r="L12" s="289"/>
      <c r="M12" s="290">
        <v>-79088584</v>
      </c>
      <c r="N12" s="291"/>
      <c r="O12" s="290">
        <v>121090365336</v>
      </c>
      <c r="P12" s="289"/>
      <c r="Q12" s="292">
        <v>0</v>
      </c>
      <c r="R12" s="289"/>
      <c r="S12" s="288">
        <v>0</v>
      </c>
      <c r="T12" s="289"/>
      <c r="U12" s="288">
        <v>0</v>
      </c>
      <c r="V12" s="289"/>
      <c r="W12" s="288">
        <v>0</v>
      </c>
      <c r="X12" s="293"/>
      <c r="Y12" s="294">
        <f>W12/'سرمایه گذاری ها  '!$I$20*100</f>
        <v>0</v>
      </c>
      <c r="Z12" s="3"/>
      <c r="AA12" s="55">
        <f>C12+I12+M12-Q12</f>
        <v>0</v>
      </c>
      <c r="AB12" s="3"/>
      <c r="AD12" s="3"/>
      <c r="AM12" s="6"/>
      <c r="AN12" s="3"/>
      <c r="AP12" s="3"/>
      <c r="AR12" s="3"/>
      <c r="AT12" s="3"/>
    </row>
    <row r="13" spans="1:46" ht="32.25" customHeight="1" x14ac:dyDescent="0.45">
      <c r="A13" s="200" t="s">
        <v>69</v>
      </c>
      <c r="B13" s="153"/>
      <c r="C13" s="281">
        <v>112961793</v>
      </c>
      <c r="D13" s="281"/>
      <c r="E13" s="226">
        <v>61754587110</v>
      </c>
      <c r="F13" s="223"/>
      <c r="G13" s="226">
        <v>58061893940.177002</v>
      </c>
      <c r="H13" s="223"/>
      <c r="I13" s="226">
        <v>0</v>
      </c>
      <c r="J13" s="223"/>
      <c r="K13" s="226">
        <v>0</v>
      </c>
      <c r="L13" s="223"/>
      <c r="M13" s="227">
        <v>-91961793</v>
      </c>
      <c r="N13" s="224"/>
      <c r="O13" s="227">
        <v>53473044257</v>
      </c>
      <c r="P13" s="223"/>
      <c r="Q13" s="171">
        <v>21000000</v>
      </c>
      <c r="R13" s="223"/>
      <c r="S13" s="226">
        <v>586</v>
      </c>
      <c r="T13" s="223"/>
      <c r="U13" s="226">
        <v>11480397882</v>
      </c>
      <c r="V13" s="223"/>
      <c r="W13" s="226">
        <v>12210874620</v>
      </c>
      <c r="X13" s="114"/>
      <c r="Y13" s="225">
        <f>W13/'سرمایه گذاری ها  '!$I$20*100</f>
        <v>0.18077507562318854</v>
      </c>
      <c r="Z13" s="3"/>
      <c r="AA13" s="55">
        <f t="shared" ref="AA13:AA18" si="0">C13+I13+M13-Q13</f>
        <v>0</v>
      </c>
      <c r="AB13" s="3"/>
      <c r="AD13" s="3"/>
      <c r="AM13" s="6"/>
      <c r="AN13" s="3"/>
      <c r="AP13" s="3"/>
      <c r="AR13" s="3"/>
      <c r="AT13" s="3"/>
    </row>
    <row r="14" spans="1:46" ht="32.25" customHeight="1" x14ac:dyDescent="0.45">
      <c r="A14" s="200" t="s">
        <v>62</v>
      </c>
      <c r="B14" s="153"/>
      <c r="C14" s="281">
        <v>6542999</v>
      </c>
      <c r="D14" s="281"/>
      <c r="E14" s="226">
        <v>9571644166</v>
      </c>
      <c r="F14" s="223"/>
      <c r="G14" s="226">
        <v>9401026502.4730396</v>
      </c>
      <c r="H14" s="223"/>
      <c r="I14" s="226">
        <v>0</v>
      </c>
      <c r="J14" s="223"/>
      <c r="K14" s="226">
        <v>0</v>
      </c>
      <c r="L14" s="223"/>
      <c r="M14" s="227">
        <v>-5740259</v>
      </c>
      <c r="N14" s="224"/>
      <c r="O14" s="227">
        <v>8042312452</v>
      </c>
      <c r="P14" s="223"/>
      <c r="Q14" s="171">
        <v>802740</v>
      </c>
      <c r="R14" s="223"/>
      <c r="S14" s="226">
        <v>1417</v>
      </c>
      <c r="T14" s="223"/>
      <c r="U14" s="226">
        <v>1174314963</v>
      </c>
      <c r="V14" s="223"/>
      <c r="W14" s="226">
        <v>1128689839.6566</v>
      </c>
      <c r="X14" s="114"/>
      <c r="Y14" s="225">
        <f>W14/'سرمایه گذاری ها  '!$I$20*100</f>
        <v>1.6709613149647296E-2</v>
      </c>
      <c r="Z14" s="3"/>
      <c r="AA14" s="55">
        <f t="shared" si="0"/>
        <v>0</v>
      </c>
      <c r="AB14" s="3"/>
      <c r="AD14" s="3"/>
      <c r="AM14" s="6"/>
      <c r="AN14" s="3"/>
      <c r="AP14" s="3"/>
      <c r="AR14" s="3"/>
      <c r="AT14" s="3"/>
    </row>
    <row r="15" spans="1:46" ht="32.25" customHeight="1" x14ac:dyDescent="0.45">
      <c r="A15" s="200" t="s">
        <v>117</v>
      </c>
      <c r="B15" s="153"/>
      <c r="C15" s="281">
        <v>5774327</v>
      </c>
      <c r="D15" s="281"/>
      <c r="E15" s="226">
        <v>14532289467</v>
      </c>
      <c r="F15" s="223"/>
      <c r="G15" s="226">
        <v>16633294285.9979</v>
      </c>
      <c r="H15" s="223"/>
      <c r="I15" s="226">
        <v>0</v>
      </c>
      <c r="J15" s="223"/>
      <c r="K15" s="226">
        <v>0</v>
      </c>
      <c r="L15" s="223"/>
      <c r="M15" s="227">
        <v>-4347460</v>
      </c>
      <c r="N15" s="224"/>
      <c r="O15" s="227">
        <v>13407458653</v>
      </c>
      <c r="P15" s="223"/>
      <c r="Q15" s="171">
        <v>1426867</v>
      </c>
      <c r="R15" s="223"/>
      <c r="S15" s="226">
        <v>3156</v>
      </c>
      <c r="T15" s="223"/>
      <c r="U15" s="226">
        <v>3591006238</v>
      </c>
      <c r="V15" s="223"/>
      <c r="W15" s="226">
        <v>4468382575.8920403</v>
      </c>
      <c r="X15" s="114"/>
      <c r="Y15" s="225">
        <f>W15/'سرمایه گذاری ها  '!$I$20*100</f>
        <v>6.6151870624171688E-2</v>
      </c>
      <c r="Z15" s="3"/>
      <c r="AA15" s="55">
        <f t="shared" si="0"/>
        <v>0</v>
      </c>
      <c r="AB15" s="3"/>
      <c r="AD15" s="3"/>
      <c r="AM15" s="6"/>
      <c r="AN15" s="3"/>
      <c r="AP15" s="3"/>
      <c r="AR15" s="3"/>
      <c r="AT15" s="3"/>
    </row>
    <row r="16" spans="1:46" s="277" customFormat="1" ht="32.25" customHeight="1" x14ac:dyDescent="0.45">
      <c r="A16" s="200" t="s">
        <v>107</v>
      </c>
      <c r="B16" s="153"/>
      <c r="C16" s="278">
        <v>5147287</v>
      </c>
      <c r="D16" s="278"/>
      <c r="E16" s="226">
        <v>132598231376</v>
      </c>
      <c r="F16" s="223"/>
      <c r="G16" s="226">
        <v>102252119399.23</v>
      </c>
      <c r="H16" s="223"/>
      <c r="I16" s="226">
        <v>0</v>
      </c>
      <c r="J16" s="223"/>
      <c r="K16" s="226">
        <v>0</v>
      </c>
      <c r="L16" s="223"/>
      <c r="M16" s="227">
        <v>-1445844</v>
      </c>
      <c r="N16" s="224"/>
      <c r="O16" s="227">
        <v>27095933262</v>
      </c>
      <c r="P16" s="223"/>
      <c r="Q16" s="171">
        <v>3701443</v>
      </c>
      <c r="R16" s="223"/>
      <c r="S16" s="226">
        <v>15370</v>
      </c>
      <c r="T16" s="223"/>
      <c r="U16" s="226">
        <v>95352133147</v>
      </c>
      <c r="V16" s="223"/>
      <c r="W16" s="226">
        <v>56451410097.025703</v>
      </c>
      <c r="X16" s="114"/>
      <c r="Y16" s="225">
        <f>W16/'سرمایه گذاری ها  '!$I$20*100</f>
        <v>0.83573112057107102</v>
      </c>
      <c r="Z16" s="3"/>
      <c r="AA16" s="55">
        <f t="shared" si="0"/>
        <v>0</v>
      </c>
      <c r="AB16" s="3"/>
      <c r="AD16" s="3"/>
      <c r="AM16" s="6"/>
      <c r="AN16" s="3"/>
      <c r="AP16" s="3"/>
      <c r="AR16" s="3"/>
      <c r="AT16" s="3"/>
    </row>
    <row r="17" spans="1:46" s="277" customFormat="1" ht="32.25" customHeight="1" x14ac:dyDescent="0.45">
      <c r="A17" s="200" t="s">
        <v>68</v>
      </c>
      <c r="B17" s="153"/>
      <c r="C17" s="278">
        <v>7408004</v>
      </c>
      <c r="D17" s="278"/>
      <c r="E17" s="226">
        <v>7680176094</v>
      </c>
      <c r="F17" s="223"/>
      <c r="G17" s="226">
        <v>10173424338.6467</v>
      </c>
      <c r="H17" s="223"/>
      <c r="I17" s="226">
        <v>0</v>
      </c>
      <c r="J17" s="223"/>
      <c r="K17" s="226">
        <v>0</v>
      </c>
      <c r="L17" s="223"/>
      <c r="M17" s="227">
        <v>-3533570</v>
      </c>
      <c r="N17" s="224"/>
      <c r="O17" s="227">
        <v>4996881594</v>
      </c>
      <c r="P17" s="223"/>
      <c r="Q17" s="171">
        <v>3874434</v>
      </c>
      <c r="R17" s="223"/>
      <c r="S17" s="226">
        <v>1447</v>
      </c>
      <c r="T17" s="223"/>
      <c r="U17" s="226">
        <v>4016781767</v>
      </c>
      <c r="V17" s="223"/>
      <c r="W17" s="226">
        <v>5562969252.6354599</v>
      </c>
      <c r="X17" s="114"/>
      <c r="Y17" s="225">
        <f>W17/'سرمایه گذاری ها  '!$I$20*100</f>
        <v>8.2356605782153869E-2</v>
      </c>
      <c r="Z17" s="3"/>
      <c r="AA17" s="55">
        <f t="shared" si="0"/>
        <v>0</v>
      </c>
      <c r="AB17" s="3"/>
      <c r="AD17" s="3"/>
      <c r="AM17" s="6"/>
      <c r="AN17" s="3"/>
      <c r="AP17" s="3"/>
      <c r="AR17" s="3"/>
      <c r="AT17" s="3"/>
    </row>
    <row r="18" spans="1:46" ht="32.25" customHeight="1" x14ac:dyDescent="0.45">
      <c r="A18" s="200" t="s">
        <v>74</v>
      </c>
      <c r="B18" s="153"/>
      <c r="C18" s="281">
        <v>8044125</v>
      </c>
      <c r="D18" s="282"/>
      <c r="E18" s="226">
        <v>110417441000</v>
      </c>
      <c r="F18" s="223"/>
      <c r="G18" s="226">
        <v>102887257048.23801</v>
      </c>
      <c r="H18" s="223"/>
      <c r="I18" s="226">
        <v>0</v>
      </c>
      <c r="J18" s="223"/>
      <c r="K18" s="226">
        <v>0</v>
      </c>
      <c r="L18" s="223"/>
      <c r="M18" s="227">
        <v>0</v>
      </c>
      <c r="N18" s="224"/>
      <c r="O18" s="227">
        <v>0</v>
      </c>
      <c r="P18" s="223"/>
      <c r="Q18" s="171">
        <v>8044125</v>
      </c>
      <c r="R18" s="223"/>
      <c r="S18" s="226">
        <v>12400</v>
      </c>
      <c r="T18" s="223"/>
      <c r="U18" s="226">
        <v>110417441000</v>
      </c>
      <c r="V18" s="223"/>
      <c r="W18" s="226">
        <v>98976104530.5</v>
      </c>
      <c r="X18" s="114"/>
      <c r="Y18" s="225">
        <f>W18/'سرمایه گذاری ها  '!$I$20*100</f>
        <v>1.4652851116892192</v>
      </c>
      <c r="Z18" s="3"/>
      <c r="AA18" s="55">
        <f t="shared" si="0"/>
        <v>0</v>
      </c>
      <c r="AB18" s="3"/>
      <c r="AD18" s="3"/>
      <c r="AM18" s="6"/>
      <c r="AN18" s="3"/>
      <c r="AP18" s="3"/>
      <c r="AR18" s="3"/>
      <c r="AT18" s="3"/>
    </row>
    <row r="19" spans="1:46" ht="25.5" customHeight="1" thickBot="1" x14ac:dyDescent="0.5">
      <c r="B19" s="151"/>
      <c r="C19" s="241"/>
      <c r="D19" s="154"/>
      <c r="E19" s="228">
        <f>SUBTOTAL(9,E12:E18)</f>
        <v>404567323605</v>
      </c>
      <c r="F19" s="242"/>
      <c r="G19" s="228">
        <f>SUBTOTAL(9,G12:G18)</f>
        <v>383775773572.79126</v>
      </c>
      <c r="H19" s="242"/>
      <c r="I19" s="229"/>
      <c r="J19" s="242"/>
      <c r="K19" s="230">
        <f>SUBTOTAL(9,K12:K18)</f>
        <v>35973194296</v>
      </c>
      <c r="L19" s="242"/>
      <c r="M19" s="229"/>
      <c r="N19" s="242"/>
      <c r="O19" s="230">
        <f>SUBTOTAL(9,O12:O18)</f>
        <v>228105995554</v>
      </c>
      <c r="P19" s="242"/>
      <c r="Q19" s="229"/>
      <c r="R19" s="242"/>
      <c r="S19" s="229"/>
      <c r="T19" s="242"/>
      <c r="U19" s="228">
        <f>SUBTOTAL(9,U12:U18)</f>
        <v>226032074997</v>
      </c>
      <c r="V19" s="242"/>
      <c r="W19" s="228">
        <f>SUBTOTAL(9,W12:W18)</f>
        <v>178798430915.70981</v>
      </c>
      <c r="X19" s="231"/>
      <c r="Y19" s="232">
        <f>SUBTOTAL(9,Y12:Y18)</f>
        <v>2.6470093974394517</v>
      </c>
    </row>
    <row r="20" spans="1:46" ht="19.5" thickTop="1" x14ac:dyDescent="0.45">
      <c r="B20" s="151"/>
      <c r="D20" s="151"/>
      <c r="F20" s="151"/>
      <c r="H20" s="151"/>
      <c r="J20" s="151"/>
      <c r="L20" s="151"/>
      <c r="N20" s="151"/>
      <c r="P20" s="151"/>
      <c r="R20" s="151"/>
      <c r="T20" s="151"/>
      <c r="V20" s="151"/>
      <c r="X20" s="114"/>
    </row>
    <row r="21" spans="1:46" ht="18.75" x14ac:dyDescent="0.45">
      <c r="J21" s="83"/>
      <c r="L21" s="151"/>
      <c r="N21" s="151"/>
      <c r="R21" s="151"/>
      <c r="T21" s="151"/>
      <c r="V21" s="151"/>
      <c r="W21" s="55"/>
      <c r="X21" s="114"/>
    </row>
    <row r="22" spans="1:46" ht="18.75" hidden="1" x14ac:dyDescent="0.45">
      <c r="G22" s="55">
        <v>111749044973</v>
      </c>
      <c r="J22" s="83"/>
      <c r="W22" s="55">
        <v>212001960553</v>
      </c>
    </row>
    <row r="23" spans="1:46" hidden="1" x14ac:dyDescent="0.45">
      <c r="G23" s="55">
        <v>-8981258954</v>
      </c>
      <c r="W23" s="55">
        <v>-25587591038</v>
      </c>
    </row>
    <row r="24" spans="1:46" hidden="1" x14ac:dyDescent="0.45">
      <c r="G24" s="55">
        <f>SUM(G22:G23)</f>
        <v>102767786019</v>
      </c>
      <c r="W24" s="55">
        <f>SUM(W22:W23)</f>
        <v>186414369515</v>
      </c>
    </row>
    <row r="25" spans="1:46" hidden="1" x14ac:dyDescent="0.45">
      <c r="G25" s="55">
        <f>G19-G24</f>
        <v>281007987553.79126</v>
      </c>
      <c r="W25" s="55">
        <f>W19-W24</f>
        <v>-7615938599.2901917</v>
      </c>
    </row>
    <row r="26" spans="1:46" hidden="1" x14ac:dyDescent="0.45"/>
    <row r="27" spans="1:46" hidden="1" x14ac:dyDescent="0.45">
      <c r="E27" s="55">
        <v>212001960553</v>
      </c>
      <c r="G27" s="55">
        <v>212001960553</v>
      </c>
      <c r="U27" s="55">
        <v>212001958036</v>
      </c>
      <c r="W27" s="55">
        <v>212001958036</v>
      </c>
    </row>
    <row r="28" spans="1:46" hidden="1" x14ac:dyDescent="0.45">
      <c r="E28" s="55">
        <f>E19-E27</f>
        <v>192565363052</v>
      </c>
      <c r="G28" s="55">
        <v>-36730301215</v>
      </c>
      <c r="U28" s="55">
        <f>U19-U27</f>
        <v>14030116961</v>
      </c>
      <c r="W28" s="55">
        <v>-45698420851</v>
      </c>
    </row>
    <row r="29" spans="1:46" hidden="1" x14ac:dyDescent="0.45">
      <c r="G29" s="55">
        <f>G19-G27-G28</f>
        <v>208504114234.79126</v>
      </c>
      <c r="W29" s="55">
        <f>W19-W27-W28</f>
        <v>12494893730.709808</v>
      </c>
    </row>
  </sheetData>
  <mergeCells count="19">
    <mergeCell ref="C8:G8"/>
    <mergeCell ref="I8:O8"/>
    <mergeCell ref="Q8:Y8"/>
    <mergeCell ref="A9:A10"/>
    <mergeCell ref="C9:C10"/>
    <mergeCell ref="E9:E10"/>
    <mergeCell ref="G9:G10"/>
    <mergeCell ref="I9:K9"/>
    <mergeCell ref="Q9:Q10"/>
    <mergeCell ref="S9:S10"/>
    <mergeCell ref="U9:U10"/>
    <mergeCell ref="W9:W10"/>
    <mergeCell ref="Y9:Y10"/>
    <mergeCell ref="M9:O9"/>
    <mergeCell ref="A1:Y1"/>
    <mergeCell ref="A2:Y2"/>
    <mergeCell ref="A3:Y3"/>
    <mergeCell ref="A5:Y5"/>
    <mergeCell ref="A6:Y6"/>
  </mergeCells>
  <printOptions horizontalCentered="1"/>
  <pageMargins left="0.31496062992125984" right="0.31496062992125984" top="0.47244094488188981" bottom="0.39370078740157483" header="0.31496062992125984" footer="0.31496062992125984"/>
  <pageSetup paperSize="9" scale="6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41"/>
  <sheetViews>
    <sheetView rightToLeft="1" view="pageBreakPreview" zoomScale="85" zoomScaleNormal="100" zoomScaleSheetLayoutView="85" workbookViewId="0">
      <selection activeCell="Y11" sqref="Y11"/>
    </sheetView>
  </sheetViews>
  <sheetFormatPr defaultColWidth="9.125" defaultRowHeight="18" x14ac:dyDescent="0.45"/>
  <cols>
    <col min="1" max="1" width="24.625" style="45" bestFit="1" customWidth="1"/>
    <col min="2" max="2" width="1.375" style="45" customWidth="1"/>
    <col min="3" max="3" width="11.75" style="45" bestFit="1" customWidth="1"/>
    <col min="4" max="4" width="0.875" style="45" customWidth="1"/>
    <col min="5" max="5" width="15.625" style="45" customWidth="1"/>
    <col min="6" max="6" width="1.375" style="45" customWidth="1"/>
    <col min="7" max="7" width="15.25" style="45" customWidth="1"/>
    <col min="8" max="8" width="0.875" style="45" customWidth="1"/>
    <col min="9" max="9" width="10.625" style="45" bestFit="1" customWidth="1"/>
    <col min="10" max="10" width="0.75" style="45" customWidth="1"/>
    <col min="11" max="11" width="15.125" style="45" bestFit="1" customWidth="1"/>
    <col min="12" max="12" width="0.625" style="45" customWidth="1"/>
    <col min="13" max="13" width="13.25" style="45" customWidth="1"/>
    <col min="14" max="14" width="1.125" style="45" customWidth="1"/>
    <col min="15" max="15" width="20.125" style="45" customWidth="1"/>
    <col min="16" max="16" width="0.875" style="45" customWidth="1"/>
    <col min="17" max="17" width="11.75" style="45" bestFit="1" customWidth="1"/>
    <col min="18" max="18" width="1" style="45" customWidth="1"/>
    <col min="19" max="19" width="9.375" style="45" customWidth="1"/>
    <col min="20" max="20" width="0.875" style="45" customWidth="1"/>
    <col min="21" max="21" width="14.875" style="45" customWidth="1"/>
    <col min="22" max="22" width="0.75" style="45" customWidth="1"/>
    <col min="23" max="23" width="15.625" style="45" customWidth="1"/>
    <col min="24" max="24" width="1" style="45" customWidth="1"/>
    <col min="25" max="25" width="11.125" style="45" customWidth="1"/>
    <col min="26" max="26" width="1.625" style="45" customWidth="1"/>
    <col min="27" max="27" width="14.375" style="45" bestFit="1" customWidth="1"/>
    <col min="28" max="16384" width="9.125" style="45"/>
  </cols>
  <sheetData>
    <row r="1" spans="1:27" ht="30" customHeight="1" x14ac:dyDescent="0.45">
      <c r="A1" s="337" t="str">
        <f>تیتر!B1</f>
        <v>صندوق سرمایه گذاری املاک و مستغلات خانه آگاه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</row>
    <row r="2" spans="1:27" ht="30" customHeight="1" x14ac:dyDescent="0.45">
      <c r="A2" s="337" t="str">
        <f>تیتر!B2</f>
        <v>صورت وضعیت پورتفوی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W2" s="338"/>
      <c r="X2" s="338"/>
      <c r="Y2" s="338"/>
    </row>
    <row r="3" spans="1:27" ht="30" customHeight="1" x14ac:dyDescent="0.45">
      <c r="A3" s="337" t="str">
        <f>تیتر!B3</f>
        <v>برای ماه منتهی به 1405/04/31</v>
      </c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338"/>
      <c r="X3" s="338"/>
      <c r="Y3" s="338"/>
    </row>
    <row r="4" spans="1:27" ht="33" customHeight="1" x14ac:dyDescent="0.45"/>
    <row r="5" spans="1:27" s="56" customFormat="1" ht="33" customHeight="1" x14ac:dyDescent="0.55000000000000004">
      <c r="A5" s="340" t="s">
        <v>95</v>
      </c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W5" s="341"/>
      <c r="X5" s="341"/>
      <c r="Y5" s="341"/>
    </row>
    <row r="6" spans="1:27" ht="28.5" customHeight="1" x14ac:dyDescent="0.45"/>
    <row r="7" spans="1:27" ht="30.75" customHeight="1" x14ac:dyDescent="0.45">
      <c r="C7" s="354" t="str">
        <f>تیتر!A5</f>
        <v>1404/03/31</v>
      </c>
      <c r="D7" s="355"/>
      <c r="E7" s="355"/>
      <c r="F7" s="355"/>
      <c r="G7" s="355"/>
      <c r="H7" s="46"/>
      <c r="I7" s="368" t="s">
        <v>0</v>
      </c>
      <c r="J7" s="368"/>
      <c r="K7" s="369"/>
      <c r="L7" s="369"/>
      <c r="M7" s="369"/>
      <c r="N7" s="369"/>
      <c r="O7" s="369"/>
      <c r="Q7" s="354" t="str">
        <f>تیتر!B5</f>
        <v>1405/04/31</v>
      </c>
      <c r="R7" s="355"/>
      <c r="S7" s="355"/>
      <c r="T7" s="355"/>
      <c r="U7" s="355"/>
      <c r="V7" s="355"/>
      <c r="W7" s="355"/>
      <c r="X7" s="355"/>
      <c r="Y7" s="355"/>
    </row>
    <row r="8" spans="1:27" s="135" customFormat="1" ht="26.25" customHeight="1" x14ac:dyDescent="0.5">
      <c r="A8" s="364" t="s">
        <v>12</v>
      </c>
      <c r="C8" s="364" t="s">
        <v>2</v>
      </c>
      <c r="E8" s="364" t="s">
        <v>3</v>
      </c>
      <c r="G8" s="364" t="s">
        <v>4</v>
      </c>
      <c r="H8" s="136"/>
      <c r="I8" s="366" t="s">
        <v>5</v>
      </c>
      <c r="J8" s="366"/>
      <c r="K8" s="367"/>
      <c r="M8" s="366" t="s">
        <v>6</v>
      </c>
      <c r="N8" s="366"/>
      <c r="O8" s="367"/>
      <c r="Q8" s="364" t="s">
        <v>2</v>
      </c>
      <c r="S8" s="365" t="s">
        <v>13</v>
      </c>
      <c r="U8" s="364" t="s">
        <v>3</v>
      </c>
      <c r="W8" s="364" t="s">
        <v>4</v>
      </c>
      <c r="Y8" s="365" t="s">
        <v>8</v>
      </c>
    </row>
    <row r="9" spans="1:27" s="140" customFormat="1" ht="32.25" customHeight="1" x14ac:dyDescent="0.55000000000000004">
      <c r="A9" s="342"/>
      <c r="C9" s="342"/>
      <c r="E9" s="342"/>
      <c r="G9" s="342"/>
      <c r="H9" s="108"/>
      <c r="I9" s="137" t="s">
        <v>2</v>
      </c>
      <c r="J9" s="137"/>
      <c r="K9" s="137" t="s">
        <v>3</v>
      </c>
      <c r="M9" s="137" t="s">
        <v>2</v>
      </c>
      <c r="N9" s="137"/>
      <c r="O9" s="137" t="s">
        <v>9</v>
      </c>
      <c r="Q9" s="342"/>
      <c r="S9" s="342"/>
      <c r="U9" s="342"/>
      <c r="W9" s="342"/>
      <c r="Y9" s="342"/>
    </row>
    <row r="10" spans="1:27" s="140" customFormat="1" ht="21" customHeight="1" x14ac:dyDescent="0.55000000000000004">
      <c r="A10" s="313"/>
      <c r="C10" s="313"/>
      <c r="E10" s="321" t="s">
        <v>47</v>
      </c>
      <c r="F10" s="131"/>
      <c r="G10" s="321" t="s">
        <v>47</v>
      </c>
      <c r="H10" s="106"/>
      <c r="I10" s="321"/>
      <c r="J10" s="321"/>
      <c r="K10" s="321" t="s">
        <v>47</v>
      </c>
      <c r="L10" s="131"/>
      <c r="M10" s="321"/>
      <c r="N10" s="321"/>
      <c r="O10" s="321" t="s">
        <v>47</v>
      </c>
      <c r="P10" s="131"/>
      <c r="Q10" s="321"/>
      <c r="R10" s="131"/>
      <c r="S10" s="321" t="s">
        <v>47</v>
      </c>
      <c r="T10" s="131"/>
      <c r="U10" s="321" t="s">
        <v>47</v>
      </c>
      <c r="V10" s="131"/>
      <c r="W10" s="321" t="s">
        <v>47</v>
      </c>
      <c r="X10" s="131"/>
      <c r="Y10" s="321"/>
    </row>
    <row r="11" spans="1:27" ht="33.75" customHeight="1" x14ac:dyDescent="0.45">
      <c r="A11" s="314" t="s">
        <v>118</v>
      </c>
      <c r="B11" s="292"/>
      <c r="C11" s="315">
        <v>972120</v>
      </c>
      <c r="D11" s="315"/>
      <c r="E11" s="316">
        <v>11478180152</v>
      </c>
      <c r="F11" s="317"/>
      <c r="G11" s="316">
        <v>11388144580.5735</v>
      </c>
      <c r="H11" s="317"/>
      <c r="I11" s="318">
        <v>0</v>
      </c>
      <c r="J11" s="317"/>
      <c r="K11" s="318">
        <v>0</v>
      </c>
      <c r="L11" s="317"/>
      <c r="M11" s="318">
        <v>-972120</v>
      </c>
      <c r="N11" s="317"/>
      <c r="O11" s="316">
        <v>11730206779</v>
      </c>
      <c r="P11" s="317"/>
      <c r="Q11" s="318">
        <v>0</v>
      </c>
      <c r="R11" s="317"/>
      <c r="S11" s="318">
        <v>0</v>
      </c>
      <c r="T11" s="317"/>
      <c r="U11" s="318">
        <v>0</v>
      </c>
      <c r="V11" s="317"/>
      <c r="W11" s="318">
        <v>0</v>
      </c>
      <c r="X11" s="319"/>
      <c r="Y11" s="320">
        <f>W11/'سرمایه گذاری ها  '!$I$20*100</f>
        <v>0</v>
      </c>
      <c r="AA11" s="55">
        <f t="shared" ref="AA11:AA15" si="0">C11+I11+M11-Q11</f>
        <v>0</v>
      </c>
    </row>
    <row r="12" spans="1:27" ht="33.75" customHeight="1" x14ac:dyDescent="0.45">
      <c r="A12" s="271" t="s">
        <v>114</v>
      </c>
      <c r="B12" s="171"/>
      <c r="C12" s="279">
        <v>363161</v>
      </c>
      <c r="D12" s="279"/>
      <c r="E12" s="172">
        <v>15419563891</v>
      </c>
      <c r="F12" s="158"/>
      <c r="G12" s="172">
        <v>18001424033.213001</v>
      </c>
      <c r="H12" s="158"/>
      <c r="I12" s="253">
        <v>0</v>
      </c>
      <c r="J12" s="158"/>
      <c r="K12" s="253">
        <v>0</v>
      </c>
      <c r="L12" s="158"/>
      <c r="M12" s="253">
        <v>0</v>
      </c>
      <c r="N12" s="158"/>
      <c r="O12" s="172">
        <v>0</v>
      </c>
      <c r="P12" s="158"/>
      <c r="Q12" s="253">
        <v>363161</v>
      </c>
      <c r="R12" s="158"/>
      <c r="S12" s="253">
        <v>51096</v>
      </c>
      <c r="T12" s="158"/>
      <c r="U12" s="253">
        <v>15419563891</v>
      </c>
      <c r="V12" s="158"/>
      <c r="W12" s="253">
        <v>18549231903.5443</v>
      </c>
      <c r="X12" s="217"/>
      <c r="Y12" s="166">
        <f>W12/'سرمایه گذاری ها  '!$I$20*100</f>
        <v>0.27461086158587406</v>
      </c>
      <c r="AA12" s="55">
        <f>C12+I12+M12-Q12</f>
        <v>0</v>
      </c>
    </row>
    <row r="13" spans="1:27" ht="33.75" customHeight="1" x14ac:dyDescent="0.45">
      <c r="A13" s="271" t="s">
        <v>131</v>
      </c>
      <c r="B13" s="171"/>
      <c r="C13" s="279">
        <v>12332825</v>
      </c>
      <c r="D13" s="279"/>
      <c r="E13" s="172">
        <v>337205071434</v>
      </c>
      <c r="F13" s="158"/>
      <c r="G13" s="172">
        <v>349888837222.04303</v>
      </c>
      <c r="H13" s="158"/>
      <c r="I13" s="253">
        <v>0</v>
      </c>
      <c r="J13" s="158"/>
      <c r="K13" s="253">
        <v>0</v>
      </c>
      <c r="L13" s="158"/>
      <c r="M13" s="253">
        <v>-12110899</v>
      </c>
      <c r="N13" s="158"/>
      <c r="O13" s="172">
        <v>349981081813</v>
      </c>
      <c r="P13" s="158"/>
      <c r="Q13" s="253">
        <v>221926</v>
      </c>
      <c r="R13" s="158"/>
      <c r="S13" s="253">
        <v>29280</v>
      </c>
      <c r="T13" s="158"/>
      <c r="U13" s="253">
        <v>6067918152</v>
      </c>
      <c r="V13" s="158"/>
      <c r="W13" s="253">
        <v>6495597144.9779997</v>
      </c>
      <c r="X13" s="217"/>
      <c r="Y13" s="166">
        <f>W13/'سرمایه گذاری ها  '!$I$20*100</f>
        <v>9.616363296187587E-2</v>
      </c>
      <c r="AA13" s="55">
        <f t="shared" si="0"/>
        <v>0</v>
      </c>
    </row>
    <row r="14" spans="1:27" ht="33.75" customHeight="1" x14ac:dyDescent="0.45">
      <c r="A14" s="271" t="s">
        <v>102</v>
      </c>
      <c r="B14" s="171"/>
      <c r="C14" s="279">
        <v>55664494</v>
      </c>
      <c r="D14" s="279"/>
      <c r="E14" s="172">
        <v>658659172496</v>
      </c>
      <c r="F14" s="158"/>
      <c r="G14" s="172">
        <v>943443472655.93506</v>
      </c>
      <c r="H14" s="158"/>
      <c r="I14" s="253">
        <v>0</v>
      </c>
      <c r="J14" s="158"/>
      <c r="K14" s="253">
        <v>0</v>
      </c>
      <c r="L14" s="158"/>
      <c r="M14" s="253">
        <v>-43069420</v>
      </c>
      <c r="N14" s="158"/>
      <c r="O14" s="172">
        <v>750164848756</v>
      </c>
      <c r="P14" s="158"/>
      <c r="Q14" s="253">
        <v>12595074</v>
      </c>
      <c r="R14" s="158"/>
      <c r="S14" s="253">
        <v>17447</v>
      </c>
      <c r="T14" s="158"/>
      <c r="U14" s="253">
        <v>149033260203</v>
      </c>
      <c r="V14" s="158"/>
      <c r="W14" s="253">
        <v>219665224646.07101</v>
      </c>
      <c r="X14" s="217"/>
      <c r="Y14" s="166">
        <f>W14/'سرمایه گذاری ها  '!$I$20*100</f>
        <v>3.2520191086179691</v>
      </c>
      <c r="AA14" s="55">
        <f t="shared" si="0"/>
        <v>0</v>
      </c>
    </row>
    <row r="15" spans="1:27" ht="33.75" customHeight="1" x14ac:dyDescent="0.45">
      <c r="A15" s="271" t="s">
        <v>156</v>
      </c>
      <c r="B15" s="171"/>
      <c r="C15" s="279">
        <v>0</v>
      </c>
      <c r="D15" s="279"/>
      <c r="E15" s="172">
        <v>0</v>
      </c>
      <c r="F15" s="158"/>
      <c r="G15" s="172">
        <v>0</v>
      </c>
      <c r="H15" s="158"/>
      <c r="I15" s="253">
        <v>7082621</v>
      </c>
      <c r="J15" s="158"/>
      <c r="K15" s="253">
        <v>750276548012</v>
      </c>
      <c r="L15" s="158"/>
      <c r="M15" s="253">
        <v>0</v>
      </c>
      <c r="N15" s="158"/>
      <c r="O15" s="172">
        <v>0</v>
      </c>
      <c r="P15" s="158"/>
      <c r="Q15" s="253">
        <v>7082621</v>
      </c>
      <c r="R15" s="158"/>
      <c r="S15" s="253">
        <v>105894</v>
      </c>
      <c r="T15" s="158"/>
      <c r="U15" s="253">
        <v>750276548012</v>
      </c>
      <c r="V15" s="158"/>
      <c r="W15" s="253">
        <v>749730503067.61096</v>
      </c>
      <c r="X15" s="217"/>
      <c r="Y15" s="166">
        <f>W15/'سرمایه گذاری ها  '!$I$20*100</f>
        <v>11.099335027736004</v>
      </c>
      <c r="AA15" s="55">
        <f t="shared" si="0"/>
        <v>0</v>
      </c>
    </row>
    <row r="16" spans="1:27" ht="30" customHeight="1" thickBot="1" x14ac:dyDescent="0.5">
      <c r="A16" s="7"/>
      <c r="C16" s="182"/>
      <c r="D16" s="163"/>
      <c r="E16" s="164">
        <f>SUM(E11:E15)</f>
        <v>1022761987973</v>
      </c>
      <c r="F16" s="163"/>
      <c r="G16" s="164">
        <f>SUM(G11:G15)</f>
        <v>1322721878491.7646</v>
      </c>
      <c r="H16" s="162"/>
      <c r="I16" s="182"/>
      <c r="J16" s="162"/>
      <c r="K16" s="164">
        <f>SUM(K11:K15)</f>
        <v>750276548012</v>
      </c>
      <c r="L16" s="162"/>
      <c r="M16" s="182"/>
      <c r="N16" s="162"/>
      <c r="O16" s="164">
        <f>SUM(O11:O15)</f>
        <v>1111876137348</v>
      </c>
      <c r="P16" s="165"/>
      <c r="Q16" s="182"/>
      <c r="R16" s="163"/>
      <c r="S16" s="182"/>
      <c r="T16" s="163"/>
      <c r="U16" s="164">
        <f>SUM(U11:U15)</f>
        <v>920797290258</v>
      </c>
      <c r="V16" s="163"/>
      <c r="W16" s="164">
        <f>SUM(W11:W15)</f>
        <v>994440556762.20435</v>
      </c>
      <c r="X16" s="163"/>
      <c r="Y16" s="167">
        <f>SUM(Y11:Y15)</f>
        <v>14.722128630901722</v>
      </c>
    </row>
    <row r="17" spans="1:25" ht="19.5" thickTop="1" x14ac:dyDescent="0.45">
      <c r="C17" s="3"/>
      <c r="E17" s="3"/>
      <c r="G17" s="3"/>
      <c r="H17" s="3"/>
      <c r="I17" s="3"/>
      <c r="J17" s="3"/>
      <c r="K17" s="3"/>
      <c r="L17" s="3"/>
      <c r="M17" s="3"/>
      <c r="N17" s="3"/>
      <c r="O17" s="3"/>
      <c r="Q17" s="3"/>
      <c r="S17" s="3"/>
      <c r="U17" s="3"/>
      <c r="W17" s="3"/>
      <c r="Y17" s="3"/>
    </row>
    <row r="18" spans="1:25" hidden="1" x14ac:dyDescent="0.45">
      <c r="G18" s="55">
        <v>2015484271897</v>
      </c>
      <c r="W18" s="55">
        <v>1668030084105</v>
      </c>
    </row>
    <row r="19" spans="1:25" hidden="1" x14ac:dyDescent="0.45">
      <c r="G19" s="55">
        <v>273719808531</v>
      </c>
      <c r="W19" s="55">
        <v>318373775019</v>
      </c>
    </row>
    <row r="20" spans="1:25" hidden="1" x14ac:dyDescent="0.45">
      <c r="G20" s="55">
        <f>SUM(G18:G19)</f>
        <v>2289204080428</v>
      </c>
      <c r="W20" s="55">
        <f>W18+W19</f>
        <v>1986403859124</v>
      </c>
    </row>
    <row r="21" spans="1:25" hidden="1" x14ac:dyDescent="0.45">
      <c r="G21" s="55">
        <f>G16-G20</f>
        <v>-966482201936.23535</v>
      </c>
      <c r="W21" s="99">
        <f>W16-W20</f>
        <v>-991963302361.79565</v>
      </c>
    </row>
    <row r="22" spans="1:25" hidden="1" x14ac:dyDescent="0.45">
      <c r="G22" s="55"/>
    </row>
    <row r="23" spans="1:25" hidden="1" x14ac:dyDescent="0.45"/>
    <row r="24" spans="1:25" hidden="1" x14ac:dyDescent="0.45">
      <c r="E24" s="55">
        <v>1625156626746</v>
      </c>
      <c r="G24" s="55">
        <v>1625156626746</v>
      </c>
      <c r="U24" s="55">
        <v>1625156626746</v>
      </c>
      <c r="W24" s="55">
        <v>1625156626746</v>
      </c>
    </row>
    <row r="25" spans="1:25" hidden="1" x14ac:dyDescent="0.45">
      <c r="E25" s="99">
        <f>E16-E24</f>
        <v>-602394638773</v>
      </c>
      <c r="G25" s="55">
        <v>362353236174</v>
      </c>
      <c r="U25" s="99">
        <f>U16-U24</f>
        <v>-704359336488</v>
      </c>
      <c r="W25" s="55">
        <v>409083518228</v>
      </c>
    </row>
    <row r="26" spans="1:25" hidden="1" x14ac:dyDescent="0.45">
      <c r="G26" s="99">
        <f>G16-G24-G25</f>
        <v>-664787984428.23535</v>
      </c>
      <c r="W26" s="99">
        <f>W16-W24-W25</f>
        <v>-1039799588211.7957</v>
      </c>
    </row>
    <row r="29" spans="1:25" x14ac:dyDescent="0.45">
      <c r="A29" s="269"/>
    </row>
    <row r="30" spans="1:25" x14ac:dyDescent="0.45">
      <c r="A30" s="269"/>
    </row>
    <row r="31" spans="1:25" x14ac:dyDescent="0.45">
      <c r="A31" s="269"/>
    </row>
    <row r="32" spans="1:25" x14ac:dyDescent="0.45">
      <c r="A32" s="269"/>
    </row>
    <row r="33" spans="1:1" x14ac:dyDescent="0.45">
      <c r="A33" s="269"/>
    </row>
    <row r="34" spans="1:1" x14ac:dyDescent="0.45">
      <c r="A34" s="269"/>
    </row>
    <row r="35" spans="1:1" x14ac:dyDescent="0.45">
      <c r="A35" s="269"/>
    </row>
    <row r="36" spans="1:1" x14ac:dyDescent="0.45">
      <c r="A36" s="269"/>
    </row>
    <row r="37" spans="1:1" x14ac:dyDescent="0.45">
      <c r="A37" s="269"/>
    </row>
    <row r="38" spans="1:1" x14ac:dyDescent="0.45">
      <c r="A38" s="269"/>
    </row>
    <row r="39" spans="1:1" x14ac:dyDescent="0.45">
      <c r="A39" s="269"/>
    </row>
    <row r="40" spans="1:1" x14ac:dyDescent="0.45">
      <c r="A40" s="269"/>
    </row>
    <row r="41" spans="1:1" x14ac:dyDescent="0.45">
      <c r="A41" s="269"/>
    </row>
  </sheetData>
  <mergeCells count="18">
    <mergeCell ref="A1:Y1"/>
    <mergeCell ref="A2:Y2"/>
    <mergeCell ref="A3:Y3"/>
    <mergeCell ref="A5:Y5"/>
    <mergeCell ref="C7:G7"/>
    <mergeCell ref="Q7:Y7"/>
    <mergeCell ref="I7:O7"/>
    <mergeCell ref="A8:A9"/>
    <mergeCell ref="Y8:Y9"/>
    <mergeCell ref="W8:W9"/>
    <mergeCell ref="Q8:Q9"/>
    <mergeCell ref="S8:S9"/>
    <mergeCell ref="U8:U9"/>
    <mergeCell ref="C8:C9"/>
    <mergeCell ref="E8:E9"/>
    <mergeCell ref="G8:G9"/>
    <mergeCell ref="I8:K8"/>
    <mergeCell ref="M8:O8"/>
  </mergeCells>
  <printOptions horizontalCentered="1"/>
  <pageMargins left="0" right="0.31496062992125984" top="0.55118110236220474" bottom="0.55118110236220474" header="0.31496062992125984" footer="0.31496062992125984"/>
  <pageSetup paperSize="9" scale="6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25"/>
  <sheetViews>
    <sheetView rightToLeft="1" view="pageBreakPreview" zoomScaleNormal="100" zoomScaleSheetLayoutView="100" workbookViewId="0">
      <selection activeCell="K12" sqref="K12"/>
    </sheetView>
  </sheetViews>
  <sheetFormatPr defaultColWidth="9.125" defaultRowHeight="18" x14ac:dyDescent="0.45"/>
  <cols>
    <col min="1" max="1" width="24" style="45" customWidth="1"/>
    <col min="2" max="2" width="1.375" style="45" customWidth="1"/>
    <col min="3" max="3" width="19.375" style="45" bestFit="1" customWidth="1"/>
    <col min="4" max="4" width="1.125" style="45" customWidth="1"/>
    <col min="5" max="5" width="18.375" style="45" customWidth="1"/>
    <col min="6" max="6" width="0.875" style="45" customWidth="1"/>
    <col min="7" max="7" width="18.375" style="45" customWidth="1"/>
    <col min="8" max="8" width="1" style="45" customWidth="1"/>
    <col min="9" max="9" width="18.25" style="45" customWidth="1"/>
    <col min="10" max="10" width="0.625" style="45" customWidth="1"/>
    <col min="11" max="11" width="15.625" style="45" customWidth="1"/>
    <col min="12" max="12" width="1" style="45" customWidth="1"/>
    <col min="13" max="16384" width="9.125" style="45"/>
  </cols>
  <sheetData>
    <row r="1" spans="1:13" ht="27" customHeight="1" x14ac:dyDescent="0.45">
      <c r="A1" s="337" t="str">
        <f>تیتر!B1</f>
        <v>صندوق سرمایه گذاری املاک و مستغلات خانه آگاه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</row>
    <row r="2" spans="1:13" ht="27" customHeight="1" x14ac:dyDescent="0.45">
      <c r="A2" s="337" t="str">
        <f>تیتر!B2</f>
        <v>صورت وضعیت پورتفوی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</row>
    <row r="3" spans="1:13" ht="27" customHeight="1" x14ac:dyDescent="0.45">
      <c r="A3" s="337" t="str">
        <f>تیتر!B3</f>
        <v>برای ماه منتهی به 1405/04/31</v>
      </c>
      <c r="B3" s="338"/>
      <c r="C3" s="338"/>
      <c r="D3" s="338"/>
      <c r="E3" s="338"/>
      <c r="F3" s="338"/>
      <c r="G3" s="338"/>
      <c r="H3" s="338"/>
      <c r="I3" s="338"/>
      <c r="J3" s="338"/>
      <c r="K3" s="338"/>
    </row>
    <row r="4" spans="1:13" ht="32.25" customHeight="1" x14ac:dyDescent="0.45"/>
    <row r="5" spans="1:13" ht="21" x14ac:dyDescent="0.45">
      <c r="A5" s="370" t="s">
        <v>96</v>
      </c>
      <c r="B5" s="338"/>
      <c r="C5" s="338"/>
      <c r="D5" s="338"/>
      <c r="E5" s="338"/>
      <c r="F5" s="338"/>
      <c r="G5" s="338"/>
      <c r="H5" s="338"/>
      <c r="I5" s="338"/>
      <c r="J5" s="338"/>
      <c r="K5" s="338"/>
    </row>
    <row r="7" spans="1:13" ht="21" x14ac:dyDescent="0.45">
      <c r="C7" s="371" t="str">
        <f>تیتر!A5</f>
        <v>1404/03/31</v>
      </c>
      <c r="E7" s="354" t="s">
        <v>0</v>
      </c>
      <c r="F7" s="355"/>
      <c r="G7" s="355"/>
      <c r="I7" s="371" t="str">
        <f>تیتر!B5</f>
        <v>1405/04/31</v>
      </c>
      <c r="J7" s="371"/>
      <c r="K7" s="371"/>
    </row>
    <row r="8" spans="1:13" ht="27" customHeight="1" x14ac:dyDescent="0.45">
      <c r="A8" s="5" t="s">
        <v>40</v>
      </c>
      <c r="C8" s="372"/>
      <c r="E8" s="127" t="s">
        <v>14</v>
      </c>
      <c r="G8" s="127" t="s">
        <v>15</v>
      </c>
      <c r="I8" s="372"/>
      <c r="J8" s="372"/>
      <c r="K8" s="372"/>
    </row>
    <row r="9" spans="1:13" ht="23.25" customHeight="1" x14ac:dyDescent="0.45">
      <c r="A9" s="47"/>
      <c r="C9" s="3" t="s">
        <v>57</v>
      </c>
      <c r="E9" s="3" t="s">
        <v>57</v>
      </c>
      <c r="G9" s="3" t="s">
        <v>57</v>
      </c>
      <c r="I9" s="3" t="s">
        <v>57</v>
      </c>
      <c r="K9" s="3" t="s">
        <v>58</v>
      </c>
    </row>
    <row r="10" spans="1:13" ht="35.25" customHeight="1" x14ac:dyDescent="0.45">
      <c r="A10" s="108" t="s">
        <v>128</v>
      </c>
      <c r="C10" s="98">
        <v>244353592345</v>
      </c>
      <c r="D10" s="45">
        <v>0</v>
      </c>
      <c r="E10" s="98">
        <v>2259874374106</v>
      </c>
      <c r="F10" s="45">
        <v>0</v>
      </c>
      <c r="G10" s="98">
        <v>1747348633256</v>
      </c>
      <c r="H10" s="98">
        <v>0</v>
      </c>
      <c r="I10" s="98">
        <v>756879333195</v>
      </c>
      <c r="K10" s="141">
        <f>I10/'سرمایه گذاری ها  '!$I$20*100</f>
        <v>11.205169404642913</v>
      </c>
    </row>
    <row r="11" spans="1:13" s="265" customFormat="1" ht="35.25" customHeight="1" x14ac:dyDescent="0.45">
      <c r="A11" s="108" t="s">
        <v>129</v>
      </c>
      <c r="C11" s="98">
        <v>24466163250</v>
      </c>
      <c r="E11" s="98">
        <v>15371497095</v>
      </c>
      <c r="G11" s="98">
        <v>36425579592</v>
      </c>
      <c r="H11" s="98"/>
      <c r="I11" s="98">
        <v>3412080753</v>
      </c>
      <c r="K11" s="141">
        <f>I11/'سرمایه گذاری ها  '!$I$20*100</f>
        <v>5.0513921021326569E-2</v>
      </c>
    </row>
    <row r="12" spans="1:13" s="265" customFormat="1" ht="35.25" customHeight="1" x14ac:dyDescent="0.45">
      <c r="A12" s="108" t="s">
        <v>130</v>
      </c>
      <c r="C12" s="98">
        <v>19788455215</v>
      </c>
      <c r="E12" s="98">
        <v>4351464001</v>
      </c>
      <c r="G12" s="98">
        <v>19001260000</v>
      </c>
      <c r="H12" s="98"/>
      <c r="I12" s="98">
        <v>5138659216</v>
      </c>
      <c r="K12" s="141">
        <f>I12/'سرمایه گذاری ها  '!$I$20*100</f>
        <v>7.6074936258267362E-2</v>
      </c>
    </row>
    <row r="13" spans="1:13" ht="32.25" customHeight="1" thickBot="1" x14ac:dyDescent="0.5">
      <c r="A13" s="3"/>
      <c r="C13" s="7">
        <f>SUM(C10:C12)</f>
        <v>288608210810</v>
      </c>
      <c r="E13" s="97">
        <f>SUM(E10:E12)</f>
        <v>2279597335202</v>
      </c>
      <c r="G13" s="97">
        <f>SUM(G10:G12)</f>
        <v>1802775472848</v>
      </c>
      <c r="H13" s="7">
        <v>0</v>
      </c>
      <c r="I13" s="7">
        <f>SUM(I10:I12)</f>
        <v>765430073164</v>
      </c>
      <c r="K13" s="107">
        <f>SUM(K10:K12)</f>
        <v>11.331758261922507</v>
      </c>
      <c r="L13" s="48"/>
      <c r="M13" s="48"/>
    </row>
    <row r="14" spans="1:13" ht="19.5" thickTop="1" x14ac:dyDescent="0.45">
      <c r="C14" s="49"/>
      <c r="E14" s="49"/>
      <c r="G14" s="49"/>
      <c r="I14" s="49"/>
      <c r="K14" s="49"/>
    </row>
    <row r="16" spans="1:13" hidden="1" x14ac:dyDescent="0.45">
      <c r="C16" s="246">
        <v>271037061764</v>
      </c>
      <c r="D16" s="188"/>
      <c r="E16" s="188"/>
      <c r="F16" s="188"/>
      <c r="G16" s="188"/>
      <c r="H16" s="188"/>
      <c r="I16" s="246">
        <v>164987419093</v>
      </c>
    </row>
    <row r="17" spans="3:11" hidden="1" x14ac:dyDescent="0.45">
      <c r="C17" s="247">
        <f>C13-C16</f>
        <v>17571149046</v>
      </c>
      <c r="D17" s="188"/>
      <c r="E17" s="247"/>
      <c r="F17" s="188"/>
      <c r="G17" s="188"/>
      <c r="H17" s="188"/>
      <c r="I17" s="247">
        <f>I13-I16</f>
        <v>600442654071</v>
      </c>
    </row>
    <row r="18" spans="3:11" hidden="1" x14ac:dyDescent="0.45">
      <c r="C18" s="188"/>
      <c r="D18" s="188"/>
      <c r="E18" s="188"/>
      <c r="F18" s="188"/>
      <c r="G18" s="188"/>
      <c r="H18" s="188"/>
      <c r="I18" s="188"/>
    </row>
    <row r="20" spans="3:11" ht="18.75" x14ac:dyDescent="0.45">
      <c r="I20" s="98">
        <f>C13+E13-G13-I13</f>
        <v>0</v>
      </c>
      <c r="K20" s="50"/>
    </row>
    <row r="21" spans="3:11" ht="18.75" x14ac:dyDescent="0.45">
      <c r="I21" s="98"/>
    </row>
    <row r="23" spans="3:11" x14ac:dyDescent="0.45">
      <c r="C23" s="55"/>
      <c r="I23" s="99"/>
    </row>
    <row r="24" spans="3:11" x14ac:dyDescent="0.45">
      <c r="C24" s="55"/>
      <c r="I24" s="51"/>
    </row>
    <row r="25" spans="3:11" x14ac:dyDescent="0.45">
      <c r="C25" s="55"/>
    </row>
  </sheetData>
  <mergeCells count="7">
    <mergeCell ref="A1:K1"/>
    <mergeCell ref="A2:K2"/>
    <mergeCell ref="A3:K3"/>
    <mergeCell ref="A5:K5"/>
    <mergeCell ref="E7:G7"/>
    <mergeCell ref="I7:K8"/>
    <mergeCell ref="C7:C8"/>
  </mergeCells>
  <pageMargins left="0.7" right="0.7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30"/>
  <sheetViews>
    <sheetView rightToLeft="1" view="pageBreakPreview" topLeftCell="A7" zoomScaleNormal="100" zoomScaleSheetLayoutView="100" workbookViewId="0">
      <selection activeCell="A17" sqref="A17:XFD21"/>
    </sheetView>
  </sheetViews>
  <sheetFormatPr defaultColWidth="9.125" defaultRowHeight="18" x14ac:dyDescent="0.45"/>
  <cols>
    <col min="1" max="1" width="50.375" style="45" customWidth="1"/>
    <col min="2" max="2" width="1.375" style="45" customWidth="1"/>
    <col min="3" max="3" width="8.375" style="45" customWidth="1"/>
    <col min="4" max="4" width="1.375" style="45" customWidth="1"/>
    <col min="5" max="5" width="18.25" style="45" customWidth="1"/>
    <col min="6" max="6" width="1.375" style="45" customWidth="1"/>
    <col min="7" max="7" width="11.375" style="45" customWidth="1"/>
    <col min="8" max="8" width="1.375" style="45" customWidth="1"/>
    <col min="9" max="9" width="11.875" style="45" customWidth="1"/>
    <col min="10" max="11" width="16.125" style="45" hidden="1" customWidth="1"/>
    <col min="12" max="12" width="16.125" style="45" customWidth="1"/>
    <col min="13" max="13" width="14" style="45" customWidth="1"/>
    <col min="14" max="14" width="14.875" style="45" customWidth="1"/>
    <col min="15" max="16" width="16.625" style="45" customWidth="1"/>
    <col min="17" max="17" width="19.125" style="45" customWidth="1"/>
    <col min="18" max="18" width="17.875" style="45" customWidth="1"/>
    <col min="19" max="19" width="13.375" style="45" customWidth="1"/>
    <col min="20" max="20" width="9.875" style="45" customWidth="1"/>
    <col min="21" max="22" width="9.125" style="45" customWidth="1"/>
    <col min="23" max="16384" width="9.125" style="45"/>
  </cols>
  <sheetData>
    <row r="1" spans="1:20" ht="31.5" customHeight="1" x14ac:dyDescent="0.45">
      <c r="A1" s="337" t="str">
        <f>تیتر!B7</f>
        <v>صندوق سرمایه گذاری املاک و مستغلات خانه آگاه</v>
      </c>
      <c r="B1" s="338"/>
      <c r="C1" s="338"/>
      <c r="D1" s="338"/>
      <c r="E1" s="338"/>
      <c r="F1" s="338"/>
      <c r="G1" s="338"/>
      <c r="H1" s="338"/>
      <c r="I1" s="338"/>
      <c r="N1" s="55"/>
    </row>
    <row r="2" spans="1:20" ht="31.5" customHeight="1" x14ac:dyDescent="0.45">
      <c r="A2" s="337" t="str">
        <f>تیتر!B8</f>
        <v xml:space="preserve">صورت وضعیت درآمدها </v>
      </c>
      <c r="B2" s="338"/>
      <c r="C2" s="338"/>
      <c r="D2" s="338"/>
      <c r="E2" s="338"/>
      <c r="F2" s="338"/>
      <c r="G2" s="338"/>
      <c r="H2" s="338"/>
      <c r="I2" s="338"/>
      <c r="N2" s="55"/>
    </row>
    <row r="3" spans="1:20" ht="31.5" customHeight="1" x14ac:dyDescent="0.45">
      <c r="A3" s="337" t="str">
        <f>تیتر!B9</f>
        <v>برای ماه منتهی به 1405/04/31</v>
      </c>
      <c r="B3" s="338"/>
      <c r="C3" s="338"/>
      <c r="D3" s="338"/>
      <c r="E3" s="338"/>
      <c r="F3" s="338"/>
      <c r="G3" s="338"/>
      <c r="H3" s="338"/>
      <c r="I3" s="338"/>
      <c r="N3" s="55"/>
    </row>
    <row r="4" spans="1:20" ht="33.75" customHeight="1" x14ac:dyDescent="0.45">
      <c r="N4" s="55"/>
      <c r="O4" s="55"/>
    </row>
    <row r="5" spans="1:20" x14ac:dyDescent="0.45">
      <c r="N5" s="55"/>
      <c r="O5" s="55"/>
    </row>
    <row r="6" spans="1:20" s="56" customFormat="1" ht="24" x14ac:dyDescent="0.55000000000000004">
      <c r="A6" s="340" t="s">
        <v>16</v>
      </c>
      <c r="B6" s="341"/>
      <c r="C6" s="341"/>
      <c r="D6" s="341"/>
      <c r="E6" s="341"/>
      <c r="F6" s="341"/>
      <c r="G6" s="341"/>
      <c r="H6" s="341"/>
      <c r="I6" s="341"/>
      <c r="N6" s="216"/>
      <c r="O6" s="216"/>
    </row>
    <row r="7" spans="1:20" s="56" customFormat="1" ht="24" customHeight="1" x14ac:dyDescent="0.55000000000000004">
      <c r="A7" s="128"/>
      <c r="N7" s="216"/>
    </row>
    <row r="8" spans="1:20" ht="25.5" customHeight="1" x14ac:dyDescent="0.45">
      <c r="E8" s="373" t="str">
        <f>تیتر!A11</f>
        <v>طی تیر ماه</v>
      </c>
      <c r="F8" s="373"/>
      <c r="G8" s="373"/>
      <c r="H8" s="373"/>
      <c r="I8" s="373"/>
      <c r="N8" s="55"/>
    </row>
    <row r="9" spans="1:20" ht="42" x14ac:dyDescent="0.45">
      <c r="A9" s="5" t="s">
        <v>17</v>
      </c>
      <c r="C9" s="5" t="s">
        <v>18</v>
      </c>
      <c r="E9" s="5" t="s">
        <v>59</v>
      </c>
      <c r="G9" s="52" t="s">
        <v>19</v>
      </c>
      <c r="I9" s="52" t="s">
        <v>20</v>
      </c>
      <c r="J9" s="85" t="s">
        <v>112</v>
      </c>
      <c r="K9" s="201"/>
      <c r="L9" s="102"/>
      <c r="N9" s="55"/>
      <c r="Q9" s="191"/>
    </row>
    <row r="10" spans="1:20" ht="33.75" customHeight="1" x14ac:dyDescent="0.45">
      <c r="A10" s="116" t="s">
        <v>75</v>
      </c>
      <c r="C10" s="109" t="s">
        <v>49</v>
      </c>
      <c r="E10" s="280">
        <f>+'درآمد سرمایه گذاری املاک'!G12</f>
        <v>4250000000</v>
      </c>
      <c r="G10" s="88">
        <f>E10/$E$15*100</f>
        <v>14.255381900691964</v>
      </c>
      <c r="I10" s="88">
        <f>E10/'سرمایه گذاری ها  '!$I$20*100</f>
        <v>6.291884040314151E-2</v>
      </c>
      <c r="J10" s="85">
        <f>'درآمد سرمایه گذاری املاک'!O12</f>
        <v>4250000000</v>
      </c>
      <c r="K10" s="88">
        <f>J10/$J$15*100</f>
        <v>14.255381900691964</v>
      </c>
      <c r="L10" s="85"/>
      <c r="M10" s="202"/>
      <c r="P10" s="55"/>
      <c r="Q10" s="55"/>
      <c r="R10" s="55"/>
    </row>
    <row r="11" spans="1:20" ht="33.75" customHeight="1" x14ac:dyDescent="0.45">
      <c r="A11" s="53" t="s">
        <v>21</v>
      </c>
      <c r="C11" s="109" t="s">
        <v>50</v>
      </c>
      <c r="E11" s="280">
        <f>+'درآمد سرمایه گذاری در سهام '!I17</f>
        <v>-12844541397</v>
      </c>
      <c r="F11" s="86"/>
      <c r="G11" s="88">
        <f t="shared" ref="G11:G14" si="0">E11/$E$15*100</f>
        <v>-43.083257165525282</v>
      </c>
      <c r="H11" s="89"/>
      <c r="I11" s="88">
        <f>E11/'سرمایه گذاری ها  '!$I$20*100</f>
        <v>-0.19015615299044408</v>
      </c>
      <c r="J11" s="85">
        <f>'درآمد سرمایه گذاری در سهام '!S17</f>
        <v>-12844541397</v>
      </c>
      <c r="K11" s="88">
        <f t="shared" ref="K11:K14" si="1">J11/$J$15*100</f>
        <v>-43.083257165525282</v>
      </c>
      <c r="L11" s="85"/>
      <c r="M11" s="85"/>
      <c r="N11" s="85"/>
      <c r="O11" s="85"/>
      <c r="P11" s="85"/>
      <c r="Q11" s="85"/>
      <c r="R11" s="85"/>
      <c r="S11" s="92"/>
    </row>
    <row r="12" spans="1:20" ht="33.75" customHeight="1" x14ac:dyDescent="0.45">
      <c r="A12" s="116" t="s">
        <v>67</v>
      </c>
      <c r="C12" s="109" t="s">
        <v>51</v>
      </c>
      <c r="E12" s="280">
        <f>+'درآمد سرمایه گذاری در صندوق'!I16</f>
        <v>33411267607</v>
      </c>
      <c r="F12" s="86"/>
      <c r="G12" s="88">
        <f t="shared" si="0"/>
        <v>112.06832459388319</v>
      </c>
      <c r="H12" s="89"/>
      <c r="I12" s="88">
        <f>E12/'سرمایه گذاری ها  '!$I$20*100</f>
        <v>0.49463487393681999</v>
      </c>
      <c r="J12" s="85">
        <f>'درآمد سرمایه گذاری در صندوق'!S16</f>
        <v>33411267607</v>
      </c>
      <c r="K12" s="88">
        <f t="shared" si="1"/>
        <v>112.06832459388319</v>
      </c>
      <c r="L12" s="85"/>
      <c r="M12" s="85"/>
      <c r="N12" s="85"/>
      <c r="O12" s="85"/>
      <c r="P12" s="92"/>
      <c r="Q12" s="55"/>
      <c r="R12" s="55"/>
      <c r="S12" s="92"/>
      <c r="T12" s="92"/>
    </row>
    <row r="13" spans="1:20" ht="33.75" customHeight="1" x14ac:dyDescent="0.45">
      <c r="A13" s="116" t="s">
        <v>65</v>
      </c>
      <c r="C13" s="109" t="s">
        <v>52</v>
      </c>
      <c r="E13" s="280">
        <f>+'درآمد سپرده بانکی '!C13</f>
        <v>4353872043</v>
      </c>
      <c r="F13" s="86"/>
      <c r="G13" s="88">
        <f t="shared" si="0"/>
        <v>14.603790286990812</v>
      </c>
      <c r="H13" s="89"/>
      <c r="I13" s="88">
        <f>E13/'سرمایه گذاری ها  '!$I$20*100</f>
        <v>6.4456607108050998E-2</v>
      </c>
      <c r="J13" s="85">
        <f>'درآمد سپرده بانکی '!G13</f>
        <v>4353872043</v>
      </c>
      <c r="K13" s="88">
        <f t="shared" si="1"/>
        <v>14.603790286990812</v>
      </c>
      <c r="L13" s="85"/>
      <c r="M13" s="85"/>
      <c r="O13" s="92"/>
      <c r="Q13" s="55"/>
      <c r="R13" s="55"/>
    </row>
    <row r="14" spans="1:20" ht="33.75" customHeight="1" x14ac:dyDescent="0.45">
      <c r="A14" s="53" t="s">
        <v>22</v>
      </c>
      <c r="C14" s="109" t="s">
        <v>76</v>
      </c>
      <c r="E14" s="280">
        <f>+'سایر درآمد ها'!C12</f>
        <v>642703345</v>
      </c>
      <c r="F14" s="86"/>
      <c r="G14" s="88">
        <f t="shared" si="0"/>
        <v>2.1557603839593371</v>
      </c>
      <c r="H14" s="89"/>
      <c r="I14" s="88">
        <f>E14/'سرمایه گذاری ها  '!$I$20*100</f>
        <v>9.5148586330871063E-3</v>
      </c>
      <c r="J14" s="85">
        <f>'سایر درآمد ها'!E12</f>
        <v>642703345</v>
      </c>
      <c r="K14" s="88">
        <f t="shared" si="1"/>
        <v>2.1557603839593371</v>
      </c>
      <c r="L14" s="85"/>
      <c r="M14" s="85"/>
      <c r="N14" s="92"/>
      <c r="O14" s="193"/>
      <c r="P14" s="55"/>
      <c r="Q14" s="55"/>
      <c r="R14" s="55"/>
    </row>
    <row r="15" spans="1:20" ht="24" customHeight="1" thickBot="1" x14ac:dyDescent="0.5">
      <c r="A15" s="53"/>
      <c r="E15" s="87">
        <f>SUM(E10:E14)</f>
        <v>29813301598</v>
      </c>
      <c r="F15" s="86"/>
      <c r="G15" s="218">
        <f>SUM(G10:G14)</f>
        <v>100.00000000000003</v>
      </c>
      <c r="H15" s="89"/>
      <c r="I15" s="218">
        <f>SUM(I10:I14)</f>
        <v>0.44136902709065551</v>
      </c>
      <c r="J15" s="85">
        <f>SUM(J10:J14)</f>
        <v>29813301598</v>
      </c>
      <c r="K15" s="85"/>
      <c r="M15" s="55"/>
      <c r="O15" s="55"/>
      <c r="P15" s="55"/>
      <c r="R15" s="55"/>
    </row>
    <row r="16" spans="1:20" ht="19.5" thickTop="1" x14ac:dyDescent="0.45">
      <c r="A16" s="53"/>
      <c r="E16" s="49"/>
      <c r="G16" s="49"/>
      <c r="I16" s="49"/>
      <c r="J16" s="85">
        <v>32000377258</v>
      </c>
      <c r="K16" s="3"/>
      <c r="M16" s="55"/>
      <c r="O16" s="55"/>
      <c r="P16" s="55"/>
      <c r="Q16" s="191"/>
      <c r="R16" s="55"/>
    </row>
    <row r="17" spans="1:18" ht="21" hidden="1" customHeight="1" x14ac:dyDescent="0.45">
      <c r="A17" s="193"/>
      <c r="C17" s="191"/>
      <c r="E17" s="85">
        <v>32000377258</v>
      </c>
      <c r="J17" s="85">
        <v>-2187075663</v>
      </c>
      <c r="K17" s="55"/>
      <c r="O17" s="55"/>
      <c r="P17" s="55"/>
      <c r="Q17" s="92"/>
      <c r="R17" s="55"/>
    </row>
    <row r="18" spans="1:18" ht="18.75" hidden="1" x14ac:dyDescent="0.45">
      <c r="A18" s="322" t="s">
        <v>158</v>
      </c>
      <c r="E18" s="201">
        <v>-2187075663</v>
      </c>
      <c r="J18" s="85">
        <v>29813301595</v>
      </c>
      <c r="K18" s="55"/>
    </row>
    <row r="19" spans="1:18" ht="18.75" hidden="1" x14ac:dyDescent="0.45">
      <c r="A19" s="55"/>
      <c r="E19" s="85">
        <f>SUM(E17:E18)</f>
        <v>29813301595</v>
      </c>
      <c r="J19" s="85">
        <f>J15-J18</f>
        <v>3</v>
      </c>
      <c r="K19" s="55"/>
      <c r="L19" s="55"/>
      <c r="Q19" s="55"/>
    </row>
    <row r="20" spans="1:18" ht="18.75" hidden="1" x14ac:dyDescent="0.45">
      <c r="A20" s="55"/>
      <c r="E20" s="85">
        <f>E15-E19</f>
        <v>3</v>
      </c>
      <c r="J20" s="85"/>
      <c r="K20" s="55"/>
      <c r="L20" s="55"/>
      <c r="Q20" s="55"/>
    </row>
    <row r="21" spans="1:18" ht="18.75" hidden="1" x14ac:dyDescent="0.45">
      <c r="E21" s="85"/>
      <c r="J21" s="85"/>
      <c r="K21" s="55"/>
      <c r="L21" s="55"/>
      <c r="Q21" s="55"/>
    </row>
    <row r="22" spans="1:18" ht="18.75" x14ac:dyDescent="0.45">
      <c r="E22" s="54"/>
      <c r="J22" s="85"/>
      <c r="K22" s="55"/>
      <c r="L22" s="55"/>
      <c r="Q22" s="92"/>
    </row>
    <row r="23" spans="1:18" ht="18.75" x14ac:dyDescent="0.45">
      <c r="E23" s="54"/>
      <c r="J23" s="85"/>
      <c r="K23" s="55"/>
      <c r="L23" s="55"/>
    </row>
    <row r="24" spans="1:18" ht="18.75" x14ac:dyDescent="0.45">
      <c r="E24" s="85"/>
      <c r="K24" s="92"/>
      <c r="L24" s="55"/>
      <c r="M24" s="92"/>
    </row>
    <row r="25" spans="1:18" ht="25.5" customHeight="1" x14ac:dyDescent="0.45">
      <c r="E25" s="54"/>
      <c r="K25" s="55"/>
    </row>
    <row r="26" spans="1:18" ht="25.5" customHeight="1" x14ac:dyDescent="0.45">
      <c r="E26" s="92"/>
      <c r="K26" s="55"/>
    </row>
    <row r="27" spans="1:18" ht="25.5" customHeight="1" x14ac:dyDescent="0.45">
      <c r="K27" s="55"/>
    </row>
    <row r="28" spans="1:18" x14ac:dyDescent="0.45">
      <c r="K28" s="55"/>
    </row>
    <row r="29" spans="1:18" x14ac:dyDescent="0.45">
      <c r="E29" s="55"/>
      <c r="K29" s="55"/>
    </row>
    <row r="30" spans="1:18" x14ac:dyDescent="0.45">
      <c r="K30" s="92"/>
    </row>
  </sheetData>
  <mergeCells count="5">
    <mergeCell ref="A1:I1"/>
    <mergeCell ref="A2:I2"/>
    <mergeCell ref="A3:I3"/>
    <mergeCell ref="A6:I6"/>
    <mergeCell ref="E8:I8"/>
  </mergeCells>
  <phoneticPr fontId="29" type="noConversion"/>
  <printOptions horizontalCentered="1"/>
  <pageMargins left="0.51181102362204722" right="0.51181102362204722" top="0.74803149606299213" bottom="0.74803149606299213" header="0.31496062992125984" footer="0.31496062992125984"/>
  <pageSetup paperSize="9" scale="80" fitToHeight="0" orientation="portrait" r:id="rId1"/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5"/>
  <sheetViews>
    <sheetView rightToLeft="1" view="pageBreakPreview" topLeftCell="A2" zoomScale="115" zoomScaleNormal="100" zoomScaleSheetLayoutView="115" workbookViewId="0">
      <selection activeCell="A23" sqref="A23:XFD27"/>
    </sheetView>
  </sheetViews>
  <sheetFormatPr defaultColWidth="9.125" defaultRowHeight="18" x14ac:dyDescent="0.45"/>
  <cols>
    <col min="1" max="1" width="19.125" style="45" customWidth="1"/>
    <col min="2" max="2" width="0.625" style="45" customWidth="1"/>
    <col min="3" max="3" width="13.625" style="45" customWidth="1"/>
    <col min="4" max="4" width="0.625" style="45" customWidth="1"/>
    <col min="5" max="5" width="16.625" style="45" customWidth="1"/>
    <col min="6" max="6" width="0.875" style="45" customWidth="1"/>
    <col min="7" max="7" width="15.25" style="45" customWidth="1"/>
    <col min="8" max="8" width="0.75" style="45" customWidth="1"/>
    <col min="9" max="9" width="10.75" style="94" bestFit="1" customWidth="1"/>
    <col min="10" max="10" width="1" style="45" customWidth="1"/>
    <col min="11" max="11" width="15" style="45" bestFit="1" customWidth="1"/>
    <col min="12" max="12" width="1" style="45" customWidth="1"/>
    <col min="13" max="13" width="16.875" style="45" customWidth="1"/>
    <col min="14" max="14" width="1" style="45" customWidth="1"/>
    <col min="15" max="15" width="16.125" style="45" bestFit="1" customWidth="1"/>
    <col min="16" max="16" width="0.875" style="45" customWidth="1"/>
    <col min="17" max="17" width="9.75" style="45" customWidth="1"/>
    <col min="18" max="18" width="9.125" style="45" hidden="1" customWidth="1"/>
    <col min="19" max="19" width="1" style="45" customWidth="1"/>
    <col min="20" max="20" width="10.75" style="45" customWidth="1"/>
    <col min="21" max="21" width="11.625" style="45" bestFit="1" customWidth="1"/>
    <col min="22" max="24" width="9.125" style="45"/>
    <col min="25" max="25" width="14" style="45" bestFit="1" customWidth="1"/>
    <col min="26" max="16384" width="9.125" style="45"/>
  </cols>
  <sheetData>
    <row r="1" spans="1:25" ht="27.75" customHeight="1" x14ac:dyDescent="0.45">
      <c r="A1" s="337" t="str">
        <f>تیتر!B7</f>
        <v>صندوق سرمایه گذاری املاک و مستغلات خانه آگاه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</row>
    <row r="2" spans="1:25" ht="27.75" customHeight="1" x14ac:dyDescent="0.45">
      <c r="A2" s="337" t="str">
        <f>تیتر!B8</f>
        <v xml:space="preserve">صورت وضعیت درآمدها 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</row>
    <row r="3" spans="1:25" ht="27.75" customHeight="1" x14ac:dyDescent="0.45">
      <c r="A3" s="337" t="str">
        <f>تیتر!B9</f>
        <v>برای ماه منتهی به 1405/04/31</v>
      </c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</row>
    <row r="4" spans="1:25" ht="22.5" customHeight="1" x14ac:dyDescent="0.45"/>
    <row r="5" spans="1:25" s="130" customFormat="1" ht="30.75" customHeight="1" x14ac:dyDescent="0.6">
      <c r="A5" s="374" t="s">
        <v>90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5"/>
      <c r="P5" s="375"/>
      <c r="Q5" s="375"/>
      <c r="Y5" s="221"/>
    </row>
    <row r="6" spans="1:25" ht="7.5" customHeight="1" x14ac:dyDescent="0.45">
      <c r="Y6" s="55"/>
    </row>
    <row r="7" spans="1:25" ht="30" customHeight="1" x14ac:dyDescent="0.45">
      <c r="C7" s="376" t="str">
        <f>+تیتر!A11</f>
        <v>طی تیر ماه</v>
      </c>
      <c r="D7" s="376"/>
      <c r="E7" s="376"/>
      <c r="F7" s="376"/>
      <c r="G7" s="376"/>
      <c r="H7" s="376"/>
      <c r="I7" s="376"/>
      <c r="K7" s="376" t="str">
        <f>تیتر!B11</f>
        <v>از ابتدای سال مالی تا پایان تیر ماه 1405</v>
      </c>
      <c r="L7" s="376"/>
      <c r="M7" s="376"/>
      <c r="N7" s="376"/>
      <c r="O7" s="376"/>
      <c r="P7" s="376"/>
      <c r="Q7" s="376"/>
      <c r="U7" s="55"/>
    </row>
    <row r="8" spans="1:25" ht="59.25" customHeight="1" x14ac:dyDescent="0.45">
      <c r="A8" s="5" t="s">
        <v>32</v>
      </c>
      <c r="C8" s="115" t="s">
        <v>104</v>
      </c>
      <c r="E8" s="115" t="s">
        <v>77</v>
      </c>
      <c r="G8" s="52" t="s">
        <v>33</v>
      </c>
      <c r="I8" s="95" t="s">
        <v>34</v>
      </c>
      <c r="K8" s="52" t="str">
        <f>C8</f>
        <v>درآمد اجاره
2-1-1</v>
      </c>
      <c r="M8" s="52" t="s">
        <v>77</v>
      </c>
      <c r="O8" s="52" t="s">
        <v>33</v>
      </c>
      <c r="Q8" s="52" t="s">
        <v>34</v>
      </c>
      <c r="T8" s="55"/>
      <c r="U8" s="55"/>
    </row>
    <row r="9" spans="1:25" ht="18" customHeight="1" x14ac:dyDescent="0.45">
      <c r="A9" s="47"/>
      <c r="E9" s="3" t="s">
        <v>47</v>
      </c>
      <c r="F9" s="3"/>
      <c r="G9" s="3" t="s">
        <v>47</v>
      </c>
      <c r="H9" s="3"/>
      <c r="I9" s="91"/>
      <c r="J9" s="3"/>
      <c r="K9" s="3"/>
      <c r="L9" s="3"/>
      <c r="M9" s="3" t="s">
        <v>47</v>
      </c>
      <c r="N9" s="3"/>
      <c r="O9" s="3" t="s">
        <v>47</v>
      </c>
      <c r="P9" s="48"/>
      <c r="Q9" s="57"/>
      <c r="R9" s="45">
        <v>-1</v>
      </c>
      <c r="T9" s="55"/>
      <c r="U9" s="55"/>
    </row>
    <row r="10" spans="1:25" ht="18" hidden="1" customHeight="1" x14ac:dyDescent="0.45">
      <c r="A10" s="198" t="s">
        <v>125</v>
      </c>
      <c r="C10" s="250">
        <v>0</v>
      </c>
      <c r="E10" s="250">
        <v>0</v>
      </c>
      <c r="F10" s="3"/>
      <c r="G10" s="251">
        <f>C10+E10</f>
        <v>0</v>
      </c>
      <c r="H10" s="3"/>
      <c r="I10" s="91">
        <f>G10/درآمدها!$E$15*100</f>
        <v>0</v>
      </c>
      <c r="J10" s="3"/>
      <c r="K10" s="53">
        <v>0</v>
      </c>
      <c r="L10" s="3"/>
      <c r="M10" s="3">
        <v>0</v>
      </c>
      <c r="N10" s="3"/>
      <c r="O10" s="3">
        <f>K10+M10</f>
        <v>0</v>
      </c>
      <c r="P10" s="48"/>
      <c r="Q10" s="91">
        <f>O10/درآمدها!$J$15*100</f>
        <v>0</v>
      </c>
      <c r="T10" s="55"/>
      <c r="U10" s="55"/>
    </row>
    <row r="11" spans="1:25" ht="25.5" customHeight="1" x14ac:dyDescent="0.45">
      <c r="A11" s="198" t="s">
        <v>111</v>
      </c>
      <c r="B11" s="151"/>
      <c r="C11" s="251">
        <v>4250000000</v>
      </c>
      <c r="D11" s="154"/>
      <c r="E11" s="250">
        <v>0</v>
      </c>
      <c r="F11" s="90"/>
      <c r="G11" s="251">
        <f t="shared" ref="G11" si="0">C11+E11</f>
        <v>4250000000</v>
      </c>
      <c r="H11" s="90"/>
      <c r="I11" s="91">
        <f>G11/درآمدها!$E$15*100</f>
        <v>14.255381900691964</v>
      </c>
      <c r="J11" s="90"/>
      <c r="K11" s="90">
        <v>4250000000</v>
      </c>
      <c r="L11" s="90"/>
      <c r="M11" s="3">
        <v>0</v>
      </c>
      <c r="N11" s="90"/>
      <c r="O11" s="3">
        <f t="shared" ref="O11" si="1">K11+M11</f>
        <v>4250000000</v>
      </c>
      <c r="P11" s="90"/>
      <c r="Q11" s="91">
        <f>O11/درآمدها!$J$15*100</f>
        <v>14.255381900691964</v>
      </c>
      <c r="S11" s="92"/>
      <c r="T11" s="55"/>
      <c r="U11" s="55"/>
    </row>
    <row r="12" spans="1:25" ht="19.5" thickBot="1" x14ac:dyDescent="0.5">
      <c r="A12" s="7"/>
      <c r="C12" s="192">
        <f>SUM(C10:C11)</f>
        <v>4250000000</v>
      </c>
      <c r="E12" s="93">
        <f>SUM(E10:E11)</f>
        <v>0</v>
      </c>
      <c r="F12" s="92"/>
      <c r="G12" s="93">
        <f>SUM(G10:G11)</f>
        <v>4250000000</v>
      </c>
      <c r="H12" s="92"/>
      <c r="I12" s="96">
        <f>SUM(I10:I11)</f>
        <v>14.255381900691964</v>
      </c>
      <c r="J12" s="92"/>
      <c r="K12" s="192">
        <f>SUM(K10:K11)</f>
        <v>4250000000</v>
      </c>
      <c r="L12" s="92"/>
      <c r="M12" s="93">
        <f>SUM(M10:M11)</f>
        <v>0</v>
      </c>
      <c r="N12" s="92"/>
      <c r="O12" s="93">
        <f>SUM(O10:O11)</f>
        <v>4250000000</v>
      </c>
      <c r="P12" s="59"/>
      <c r="Q12" s="60">
        <f>SUM(Q10:Q11)</f>
        <v>14.255381900691964</v>
      </c>
    </row>
    <row r="13" spans="1:25" ht="17.25" customHeight="1" thickTop="1" x14ac:dyDescent="0.45"/>
    <row r="14" spans="1:25" ht="18.75" hidden="1" x14ac:dyDescent="0.45">
      <c r="G14" s="45">
        <v>4249999500</v>
      </c>
      <c r="K14" s="55">
        <v>39326829174</v>
      </c>
      <c r="M14" s="90">
        <v>385529075277</v>
      </c>
      <c r="O14" s="55"/>
    </row>
    <row r="15" spans="1:25" ht="18.75" hidden="1" x14ac:dyDescent="0.45">
      <c r="E15" s="55"/>
      <c r="G15" s="92">
        <f>G11-G14</f>
        <v>500</v>
      </c>
      <c r="K15" s="55">
        <f>K12-K14</f>
        <v>-35076829174</v>
      </c>
      <c r="M15" s="90">
        <f>M12-M14</f>
        <v>-385529075277</v>
      </c>
      <c r="O15" s="55"/>
    </row>
    <row r="16" spans="1:25" ht="18.75" hidden="1" x14ac:dyDescent="0.45">
      <c r="A16" s="4"/>
      <c r="C16" s="92">
        <v>4108332850</v>
      </c>
      <c r="E16" s="3">
        <v>40731571693</v>
      </c>
      <c r="G16" s="3"/>
      <c r="K16" s="55">
        <v>43435162024</v>
      </c>
      <c r="M16" s="55">
        <v>426260646970</v>
      </c>
    </row>
    <row r="17" spans="1:13" ht="18.75" hidden="1" x14ac:dyDescent="0.45">
      <c r="A17" s="4"/>
      <c r="C17" s="214">
        <f>C12-C16</f>
        <v>141667150</v>
      </c>
      <c r="E17" s="3">
        <f>E12-E16</f>
        <v>-40731571693</v>
      </c>
      <c r="G17" s="3"/>
      <c r="K17" s="55">
        <f>K12-K16</f>
        <v>-39185162024</v>
      </c>
      <c r="M17" s="92">
        <f>M12-M16</f>
        <v>-426260646970</v>
      </c>
    </row>
    <row r="18" spans="1:13" ht="18.75" hidden="1" x14ac:dyDescent="0.45">
      <c r="A18" s="4"/>
      <c r="C18" s="55"/>
      <c r="E18" s="3"/>
      <c r="G18" s="3"/>
      <c r="K18" s="55"/>
    </row>
    <row r="19" spans="1:13" ht="18.75" hidden="1" x14ac:dyDescent="0.45">
      <c r="A19" s="4"/>
      <c r="E19" s="3"/>
      <c r="G19" s="3"/>
      <c r="K19" s="55"/>
    </row>
    <row r="20" spans="1:13" ht="18.75" hidden="1" x14ac:dyDescent="0.45">
      <c r="A20" s="4"/>
      <c r="C20" s="55">
        <v>4391666150</v>
      </c>
      <c r="E20" s="3"/>
      <c r="G20" s="3">
        <v>4391666150</v>
      </c>
      <c r="K20" s="55">
        <v>47826828154</v>
      </c>
      <c r="M20" s="55">
        <v>404211646970</v>
      </c>
    </row>
    <row r="21" spans="1:13" ht="18.75" hidden="1" x14ac:dyDescent="0.45">
      <c r="A21" s="4"/>
      <c r="C21" s="92">
        <f>C12-C20</f>
        <v>-141666150</v>
      </c>
      <c r="E21" s="3"/>
      <c r="G21" s="3">
        <f>G12-G20</f>
        <v>-141666150</v>
      </c>
      <c r="K21" s="92">
        <f>K12-K20</f>
        <v>-43576828154</v>
      </c>
      <c r="M21" s="92">
        <f>M12-M20</f>
        <v>-404211646970</v>
      </c>
    </row>
    <row r="22" spans="1:13" ht="18.75" x14ac:dyDescent="0.45">
      <c r="A22" s="4"/>
      <c r="E22" s="3"/>
      <c r="G22" s="3"/>
    </row>
    <row r="23" spans="1:13" ht="18.75" hidden="1" x14ac:dyDescent="0.45">
      <c r="A23" s="4"/>
      <c r="E23" s="3"/>
      <c r="G23" s="3"/>
    </row>
    <row r="24" spans="1:13" ht="18.75" hidden="1" x14ac:dyDescent="0.45">
      <c r="A24" s="4"/>
      <c r="E24" s="3">
        <v>4343000000</v>
      </c>
      <c r="G24" s="3"/>
      <c r="K24" s="92"/>
    </row>
    <row r="25" spans="1:13" ht="18.75" hidden="1" x14ac:dyDescent="0.45">
      <c r="A25" s="4"/>
      <c r="E25" s="3">
        <f>-'درآمد سرمایه گذاری در صندوق'!C14</f>
        <v>-93000000</v>
      </c>
      <c r="G25" s="3"/>
      <c r="K25" s="92"/>
    </row>
    <row r="26" spans="1:13" ht="18.75" hidden="1" x14ac:dyDescent="0.45">
      <c r="A26" s="4"/>
      <c r="E26" s="3">
        <f>SUM(E24:E25)</f>
        <v>4250000000</v>
      </c>
      <c r="G26" s="3"/>
    </row>
    <row r="27" spans="1:13" ht="18.75" hidden="1" x14ac:dyDescent="0.45">
      <c r="A27" s="4"/>
      <c r="E27" s="3"/>
      <c r="G27" s="3"/>
    </row>
    <row r="28" spans="1:13" ht="18.75" x14ac:dyDescent="0.45">
      <c r="A28" s="4"/>
      <c r="E28" s="3"/>
      <c r="G28" s="3"/>
    </row>
    <row r="29" spans="1:13" ht="18.75" x14ac:dyDescent="0.45">
      <c r="A29" s="4"/>
      <c r="E29" s="3"/>
      <c r="G29" s="3"/>
    </row>
    <row r="30" spans="1:13" ht="18.75" x14ac:dyDescent="0.45">
      <c r="A30" s="4"/>
      <c r="E30" s="3"/>
      <c r="G30" s="3"/>
    </row>
    <row r="31" spans="1:13" ht="18.75" x14ac:dyDescent="0.45">
      <c r="A31" s="4"/>
      <c r="E31" s="3"/>
      <c r="G31" s="3"/>
    </row>
    <row r="32" spans="1:13" ht="18.75" x14ac:dyDescent="0.45">
      <c r="A32" s="4"/>
      <c r="E32" s="3"/>
      <c r="G32" s="3"/>
    </row>
    <row r="33" spans="1:7" ht="18.75" x14ac:dyDescent="0.45">
      <c r="A33" s="4"/>
      <c r="E33" s="3"/>
      <c r="G33" s="3"/>
    </row>
    <row r="34" spans="1:7" ht="18.75" x14ac:dyDescent="0.45">
      <c r="A34" s="4"/>
      <c r="E34" s="3"/>
      <c r="G34" s="3"/>
    </row>
    <row r="35" spans="1:7" ht="18.75" x14ac:dyDescent="0.45">
      <c r="A35" s="4"/>
      <c r="E35" s="3"/>
      <c r="G35" s="3"/>
    </row>
    <row r="36" spans="1:7" ht="18.75" x14ac:dyDescent="0.45">
      <c r="A36" s="4"/>
      <c r="E36" s="3"/>
      <c r="G36" s="3"/>
    </row>
    <row r="37" spans="1:7" ht="18.75" x14ac:dyDescent="0.45">
      <c r="A37" s="4"/>
      <c r="E37" s="3"/>
      <c r="G37" s="3"/>
    </row>
    <row r="38" spans="1:7" ht="18.75" x14ac:dyDescent="0.45">
      <c r="A38" s="4"/>
      <c r="E38" s="3"/>
      <c r="G38" s="3"/>
    </row>
    <row r="39" spans="1:7" ht="18.75" x14ac:dyDescent="0.45">
      <c r="A39" s="4"/>
      <c r="E39" s="3"/>
      <c r="G39" s="3"/>
    </row>
    <row r="40" spans="1:7" ht="18.75" x14ac:dyDescent="0.45">
      <c r="A40" s="4"/>
      <c r="E40" s="3"/>
      <c r="G40" s="3"/>
    </row>
    <row r="41" spans="1:7" ht="18.75" x14ac:dyDescent="0.45">
      <c r="A41" s="4"/>
      <c r="E41" s="3"/>
      <c r="G41" s="3"/>
    </row>
    <row r="42" spans="1:7" ht="18.75" x14ac:dyDescent="0.45">
      <c r="A42" s="4"/>
      <c r="E42" s="3"/>
      <c r="G42" s="3"/>
    </row>
    <row r="43" spans="1:7" ht="18.75" x14ac:dyDescent="0.45">
      <c r="A43" s="4"/>
      <c r="E43" s="3"/>
      <c r="G43" s="3"/>
    </row>
    <row r="44" spans="1:7" ht="18.75" x14ac:dyDescent="0.45">
      <c r="A44" s="4"/>
      <c r="E44" s="3"/>
      <c r="G44" s="3"/>
    </row>
    <row r="45" spans="1:7" ht="18.75" x14ac:dyDescent="0.45">
      <c r="A45" s="4"/>
      <c r="E45" s="3"/>
      <c r="G45" s="3"/>
    </row>
    <row r="46" spans="1:7" ht="18.75" x14ac:dyDescent="0.45">
      <c r="A46" s="4"/>
      <c r="E46" s="3"/>
      <c r="G46" s="3"/>
    </row>
    <row r="47" spans="1:7" ht="18.75" x14ac:dyDescent="0.45">
      <c r="A47" s="4"/>
      <c r="E47" s="3"/>
      <c r="G47" s="3"/>
    </row>
    <row r="48" spans="1:7" ht="18.75" x14ac:dyDescent="0.45">
      <c r="A48" s="4"/>
      <c r="E48" s="3"/>
      <c r="G48" s="3"/>
    </row>
    <row r="49" spans="1:7" ht="18.75" x14ac:dyDescent="0.45">
      <c r="A49" s="4"/>
      <c r="E49" s="3"/>
      <c r="G49" s="3"/>
    </row>
    <row r="50" spans="1:7" ht="18.75" x14ac:dyDescent="0.45">
      <c r="A50" s="4"/>
      <c r="E50" s="3"/>
      <c r="G50" s="3"/>
    </row>
    <row r="51" spans="1:7" ht="18.75" x14ac:dyDescent="0.45">
      <c r="A51" s="4"/>
      <c r="E51" s="3"/>
      <c r="G51" s="3"/>
    </row>
    <row r="52" spans="1:7" ht="18.75" x14ac:dyDescent="0.45">
      <c r="A52" s="4"/>
      <c r="E52" s="3"/>
      <c r="G52" s="3"/>
    </row>
    <row r="53" spans="1:7" ht="18.75" x14ac:dyDescent="0.45">
      <c r="A53" s="4"/>
      <c r="E53" s="3"/>
      <c r="G53" s="3"/>
    </row>
    <row r="54" spans="1:7" ht="18.75" x14ac:dyDescent="0.45">
      <c r="A54" s="4"/>
      <c r="E54" s="3"/>
      <c r="G54" s="3"/>
    </row>
    <row r="55" spans="1:7" ht="18.75" x14ac:dyDescent="0.45">
      <c r="A55" s="4"/>
      <c r="E55" s="3"/>
      <c r="G55" s="3"/>
    </row>
    <row r="56" spans="1:7" ht="18.75" x14ac:dyDescent="0.45">
      <c r="A56" s="4"/>
      <c r="E56" s="3"/>
      <c r="G56" s="3"/>
    </row>
    <row r="57" spans="1:7" ht="18.75" x14ac:dyDescent="0.45">
      <c r="A57" s="4"/>
      <c r="E57" s="3"/>
      <c r="G57" s="3"/>
    </row>
    <row r="58" spans="1:7" ht="18.75" x14ac:dyDescent="0.45">
      <c r="A58" s="4"/>
      <c r="E58" s="3"/>
      <c r="G58" s="3"/>
    </row>
    <row r="59" spans="1:7" ht="18.75" x14ac:dyDescent="0.45">
      <c r="A59" s="4"/>
      <c r="E59" s="3"/>
      <c r="G59" s="3"/>
    </row>
    <row r="60" spans="1:7" ht="18.75" x14ac:dyDescent="0.45">
      <c r="A60" s="4"/>
      <c r="E60" s="3"/>
      <c r="G60" s="3"/>
    </row>
    <row r="61" spans="1:7" ht="18.75" x14ac:dyDescent="0.45">
      <c r="A61" s="4"/>
      <c r="E61" s="3"/>
      <c r="G61" s="3"/>
    </row>
    <row r="62" spans="1:7" ht="18.75" x14ac:dyDescent="0.45">
      <c r="A62" s="4"/>
      <c r="E62" s="3"/>
      <c r="G62" s="3"/>
    </row>
    <row r="63" spans="1:7" ht="18.75" x14ac:dyDescent="0.45">
      <c r="A63" s="4"/>
      <c r="E63" s="3"/>
      <c r="G63" s="3"/>
    </row>
    <row r="64" spans="1:7" ht="18.75" x14ac:dyDescent="0.45">
      <c r="A64" s="4"/>
      <c r="E64" s="3"/>
      <c r="G64" s="3"/>
    </row>
    <row r="65" spans="1:7" ht="18.75" x14ac:dyDescent="0.45">
      <c r="A65" s="4"/>
      <c r="E65" s="3"/>
      <c r="G65" s="3"/>
    </row>
    <row r="66" spans="1:7" ht="18.75" x14ac:dyDescent="0.45">
      <c r="A66" s="4"/>
      <c r="E66" s="3"/>
      <c r="G66" s="3"/>
    </row>
    <row r="67" spans="1:7" ht="18.75" x14ac:dyDescent="0.45">
      <c r="A67" s="4"/>
      <c r="E67" s="3"/>
      <c r="G67" s="3"/>
    </row>
    <row r="68" spans="1:7" ht="18.75" x14ac:dyDescent="0.45">
      <c r="A68" s="4"/>
      <c r="E68" s="3"/>
      <c r="G68" s="3"/>
    </row>
    <row r="69" spans="1:7" ht="18.75" x14ac:dyDescent="0.45">
      <c r="A69" s="4"/>
      <c r="E69" s="3"/>
      <c r="G69" s="3"/>
    </row>
    <row r="70" spans="1:7" ht="18.75" x14ac:dyDescent="0.45">
      <c r="A70" s="4"/>
      <c r="E70" s="3"/>
      <c r="G70" s="3"/>
    </row>
    <row r="71" spans="1:7" ht="18.75" x14ac:dyDescent="0.45">
      <c r="A71" s="4"/>
      <c r="E71" s="3"/>
      <c r="G71" s="3"/>
    </row>
    <row r="72" spans="1:7" ht="18.75" x14ac:dyDescent="0.45">
      <c r="A72" s="4"/>
      <c r="E72" s="3"/>
      <c r="G72" s="3"/>
    </row>
    <row r="73" spans="1:7" ht="18.75" x14ac:dyDescent="0.45">
      <c r="A73" s="4"/>
      <c r="E73" s="3"/>
      <c r="G73" s="3"/>
    </row>
    <row r="74" spans="1:7" ht="18.75" x14ac:dyDescent="0.45">
      <c r="A74" s="4"/>
      <c r="E74" s="3"/>
      <c r="G74" s="3"/>
    </row>
    <row r="75" spans="1:7" ht="18.75" x14ac:dyDescent="0.45">
      <c r="A75" s="4"/>
      <c r="E75" s="3"/>
      <c r="G75" s="3"/>
    </row>
    <row r="76" spans="1:7" ht="18.75" x14ac:dyDescent="0.45">
      <c r="A76" s="4"/>
      <c r="E76" s="3"/>
      <c r="G76" s="3"/>
    </row>
    <row r="77" spans="1:7" ht="18.75" x14ac:dyDescent="0.45">
      <c r="A77" s="4"/>
      <c r="E77" s="3"/>
      <c r="G77" s="3"/>
    </row>
    <row r="78" spans="1:7" ht="18.75" x14ac:dyDescent="0.45">
      <c r="A78" s="4"/>
      <c r="E78" s="3"/>
      <c r="G78" s="3"/>
    </row>
    <row r="79" spans="1:7" ht="18.75" x14ac:dyDescent="0.45">
      <c r="A79" s="4"/>
    </row>
    <row r="80" spans="1:7" ht="18.75" x14ac:dyDescent="0.45">
      <c r="A80" s="4"/>
    </row>
    <row r="81" spans="1:1" ht="18.75" x14ac:dyDescent="0.45">
      <c r="A81" s="4"/>
    </row>
    <row r="82" spans="1:1" ht="18.75" x14ac:dyDescent="0.45">
      <c r="A82" s="4"/>
    </row>
    <row r="83" spans="1:1" ht="18.75" x14ac:dyDescent="0.45">
      <c r="A83" s="4"/>
    </row>
    <row r="84" spans="1:1" ht="18.75" x14ac:dyDescent="0.45">
      <c r="A84" s="4"/>
    </row>
    <row r="85" spans="1:1" ht="18.75" x14ac:dyDescent="0.45">
      <c r="A85" s="4"/>
    </row>
    <row r="86" spans="1:1" ht="18.75" x14ac:dyDescent="0.45">
      <c r="A86" s="4"/>
    </row>
    <row r="87" spans="1:1" ht="18.75" x14ac:dyDescent="0.45">
      <c r="A87" s="4"/>
    </row>
    <row r="88" spans="1:1" ht="18.75" x14ac:dyDescent="0.45">
      <c r="A88" s="4"/>
    </row>
    <row r="89" spans="1:1" ht="18.75" x14ac:dyDescent="0.45">
      <c r="A89" s="4"/>
    </row>
    <row r="90" spans="1:1" ht="18.75" x14ac:dyDescent="0.45">
      <c r="A90" s="4"/>
    </row>
    <row r="91" spans="1:1" ht="18.75" x14ac:dyDescent="0.45">
      <c r="A91" s="4"/>
    </row>
    <row r="92" spans="1:1" ht="18.75" x14ac:dyDescent="0.45">
      <c r="A92" s="4"/>
    </row>
    <row r="93" spans="1:1" ht="18.75" x14ac:dyDescent="0.45">
      <c r="A93" s="4"/>
    </row>
    <row r="94" spans="1:1" ht="18.75" x14ac:dyDescent="0.45">
      <c r="A94" s="4"/>
    </row>
    <row r="95" spans="1:1" ht="18.75" x14ac:dyDescent="0.45">
      <c r="A95" s="4"/>
    </row>
  </sheetData>
  <mergeCells count="6">
    <mergeCell ref="A1:Q1"/>
    <mergeCell ref="A2:Q2"/>
    <mergeCell ref="A3:Q3"/>
    <mergeCell ref="A5:Q5"/>
    <mergeCell ref="K7:Q7"/>
    <mergeCell ref="C7:I7"/>
  </mergeCells>
  <printOptions horizontalCentered="1"/>
  <pageMargins left="0.31496062992125984" right="0.31496062992125984" top="0.47244094488188981" bottom="0.39370078740157483" header="0.31496062992125984" footer="0.31496062992125984"/>
  <pageSetup paperSize="9" scale="6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8"/>
  <sheetViews>
    <sheetView rightToLeft="1" view="pageBreakPreview" zoomScaleNormal="100" zoomScaleSheetLayoutView="100" workbookViewId="0">
      <selection activeCell="Q10" sqref="Q10:Q14"/>
    </sheetView>
  </sheetViews>
  <sheetFormatPr defaultColWidth="9" defaultRowHeight="18" x14ac:dyDescent="0.45"/>
  <cols>
    <col min="1" max="1" width="14.625" style="45" customWidth="1"/>
    <col min="2" max="2" width="1.375" style="45" customWidth="1"/>
    <col min="3" max="3" width="8.625" style="45" customWidth="1"/>
    <col min="4" max="4" width="1.375" style="45" customWidth="1"/>
    <col min="5" max="5" width="17" style="45" customWidth="1"/>
    <col min="6" max="6" width="1.375" style="45" customWidth="1"/>
    <col min="7" max="7" width="17.75" style="45" bestFit="1" customWidth="1"/>
    <col min="8" max="8" width="1.375" style="45" customWidth="1"/>
    <col min="9" max="9" width="17" style="45" customWidth="1"/>
    <col min="10" max="10" width="1.375" style="45" customWidth="1"/>
    <col min="11" max="11" width="9.375" style="45" customWidth="1"/>
    <col min="12" max="12" width="1.375" style="45" customWidth="1"/>
    <col min="13" max="13" width="17.875" style="45" bestFit="1" customWidth="1"/>
    <col min="14" max="14" width="1.375" style="45" customWidth="1"/>
    <col min="15" max="15" width="19.25" style="45" bestFit="1" customWidth="1"/>
    <col min="16" max="16" width="1.375" style="45" customWidth="1"/>
    <col min="17" max="17" width="17" style="45" customWidth="1"/>
    <col min="18" max="18" width="1.125" style="45" customWidth="1"/>
    <col min="19" max="19" width="15.125" style="45" customWidth="1"/>
    <col min="20" max="20" width="13.625" style="45" bestFit="1" customWidth="1"/>
    <col min="21" max="16384" width="9" style="45"/>
  </cols>
  <sheetData>
    <row r="1" spans="1:20" ht="25.5" customHeight="1" x14ac:dyDescent="0.45">
      <c r="A1" s="337" t="str">
        <f>+تیتر!B1</f>
        <v>صندوق سرمایه گذاری املاک و مستغلات خانه آگاه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</row>
    <row r="2" spans="1:20" ht="25.5" customHeight="1" x14ac:dyDescent="0.45">
      <c r="A2" s="337" t="str">
        <f>+تیتر!B2</f>
        <v>صورت وضعیت پورتفوی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</row>
    <row r="3" spans="1:20" ht="25.5" customHeight="1" x14ac:dyDescent="0.45">
      <c r="A3" s="337" t="str">
        <f>+تیتر!B3</f>
        <v>برای ماه منتهی به 1405/04/31</v>
      </c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</row>
    <row r="5" spans="1:20" s="56" customFormat="1" ht="25.5" customHeight="1" x14ac:dyDescent="0.55000000000000004">
      <c r="A5" s="381" t="s">
        <v>91</v>
      </c>
      <c r="B5" s="382"/>
      <c r="C5" s="382"/>
      <c r="D5" s="382"/>
      <c r="E5" s="382"/>
      <c r="F5" s="382"/>
      <c r="G5" s="382"/>
      <c r="H5" s="382"/>
      <c r="I5" s="382"/>
      <c r="J5" s="382"/>
      <c r="K5" s="382"/>
      <c r="L5" s="382"/>
      <c r="M5" s="382"/>
      <c r="N5" s="382"/>
      <c r="O5" s="382"/>
      <c r="P5" s="382"/>
      <c r="Q5" s="382"/>
      <c r="R5" s="142"/>
    </row>
    <row r="6" spans="1:20" ht="16.5" customHeight="1" x14ac:dyDescent="0.45"/>
    <row r="7" spans="1:20" ht="30.75" customHeight="1" x14ac:dyDescent="0.45">
      <c r="C7" s="354" t="str">
        <f>تیتر!A11</f>
        <v>طی تیر ماه</v>
      </c>
      <c r="D7" s="355"/>
      <c r="E7" s="355"/>
      <c r="F7" s="355"/>
      <c r="G7" s="355"/>
      <c r="H7" s="355"/>
      <c r="I7" s="355"/>
      <c r="K7" s="354" t="str">
        <f>تیتر!B11</f>
        <v>از ابتدای سال مالی تا پایان تیر ماه 1405</v>
      </c>
      <c r="L7" s="355"/>
      <c r="M7" s="355"/>
      <c r="N7" s="355"/>
      <c r="O7" s="355"/>
      <c r="P7" s="355"/>
      <c r="Q7" s="355"/>
      <c r="R7" s="46"/>
    </row>
    <row r="8" spans="1:20" ht="42" x14ac:dyDescent="0.45">
      <c r="A8" s="5" t="s">
        <v>17</v>
      </c>
      <c r="C8" s="52" t="s">
        <v>2</v>
      </c>
      <c r="E8" s="52" t="s">
        <v>4</v>
      </c>
      <c r="G8" s="52" t="s">
        <v>30</v>
      </c>
      <c r="I8" s="115" t="s">
        <v>93</v>
      </c>
      <c r="K8" s="52" t="s">
        <v>2</v>
      </c>
      <c r="M8" s="52" t="s">
        <v>4</v>
      </c>
      <c r="O8" s="52" t="s">
        <v>30</v>
      </c>
      <c r="Q8" s="115" t="s">
        <v>93</v>
      </c>
      <c r="R8" s="57"/>
    </row>
    <row r="9" spans="1:20" ht="21" customHeight="1" x14ac:dyDescent="0.45">
      <c r="A9" s="4"/>
      <c r="C9" s="3"/>
      <c r="E9" s="3" t="s">
        <v>47</v>
      </c>
      <c r="G9" s="3" t="s">
        <v>47</v>
      </c>
      <c r="I9" s="3" t="s">
        <v>47</v>
      </c>
      <c r="K9" s="3"/>
      <c r="M9" s="3" t="s">
        <v>47</v>
      </c>
      <c r="O9" s="3" t="s">
        <v>47</v>
      </c>
      <c r="Q9" s="3" t="s">
        <v>47</v>
      </c>
      <c r="R9" s="57"/>
      <c r="S9" s="48"/>
      <c r="T9" s="48"/>
    </row>
    <row r="10" spans="1:20" ht="21" customHeight="1" x14ac:dyDescent="0.45">
      <c r="A10" s="160" t="s">
        <v>125</v>
      </c>
      <c r="C10" s="3"/>
      <c r="E10" s="53">
        <v>0</v>
      </c>
      <c r="F10" s="250"/>
      <c r="G10" s="53">
        <v>0</v>
      </c>
      <c r="H10" s="250"/>
      <c r="I10" s="53">
        <v>0</v>
      </c>
      <c r="K10" s="3">
        <v>1</v>
      </c>
      <c r="M10" s="53">
        <v>0</v>
      </c>
      <c r="N10" s="53"/>
      <c r="O10" s="53">
        <v>0</v>
      </c>
      <c r="Q10" s="3">
        <v>0</v>
      </c>
      <c r="R10" s="57"/>
      <c r="S10" s="48"/>
      <c r="T10" s="48"/>
    </row>
    <row r="11" spans="1:20" ht="25.5" customHeight="1" x14ac:dyDescent="0.45">
      <c r="A11" s="160" t="s">
        <v>105</v>
      </c>
      <c r="B11" s="151"/>
      <c r="C11" s="168" t="s">
        <v>106</v>
      </c>
      <c r="D11" s="151"/>
      <c r="E11" s="159">
        <v>0</v>
      </c>
      <c r="F11" s="159"/>
      <c r="G11" s="159">
        <v>0</v>
      </c>
      <c r="H11" s="159"/>
      <c r="I11" s="159">
        <v>0</v>
      </c>
      <c r="J11" s="169"/>
      <c r="K11" s="169">
        <v>2</v>
      </c>
      <c r="L11" s="169"/>
      <c r="M11" s="53">
        <v>0</v>
      </c>
      <c r="N11" s="53"/>
      <c r="O11" s="53">
        <v>0</v>
      </c>
      <c r="P11" s="169"/>
      <c r="Q11" s="3">
        <v>0</v>
      </c>
      <c r="R11" s="55"/>
      <c r="S11" s="55"/>
      <c r="T11" s="110"/>
    </row>
    <row r="12" spans="1:20" ht="25.5" customHeight="1" x14ac:dyDescent="0.45">
      <c r="A12" s="160" t="s">
        <v>115</v>
      </c>
      <c r="B12" s="151"/>
      <c r="C12" s="168" t="s">
        <v>106</v>
      </c>
      <c r="D12" s="151"/>
      <c r="E12" s="159">
        <v>0</v>
      </c>
      <c r="F12" s="159"/>
      <c r="G12" s="159">
        <v>0</v>
      </c>
      <c r="H12" s="159"/>
      <c r="I12" s="159">
        <v>0</v>
      </c>
      <c r="J12" s="169"/>
      <c r="K12" s="169">
        <v>1</v>
      </c>
      <c r="L12" s="169"/>
      <c r="M12" s="53">
        <v>0</v>
      </c>
      <c r="N12" s="53"/>
      <c r="O12" s="53">
        <v>0</v>
      </c>
      <c r="P12" s="169"/>
      <c r="Q12" s="3">
        <v>0</v>
      </c>
      <c r="R12" s="55"/>
      <c r="S12" s="55"/>
      <c r="T12" s="110"/>
    </row>
    <row r="13" spans="1:20" s="277" customFormat="1" ht="25.5" customHeight="1" x14ac:dyDescent="0.45">
      <c r="A13" s="160" t="s">
        <v>121</v>
      </c>
      <c r="B13" s="151"/>
      <c r="C13" s="168">
        <v>1</v>
      </c>
      <c r="D13" s="151"/>
      <c r="E13" s="159">
        <v>0</v>
      </c>
      <c r="F13" s="159"/>
      <c r="G13" s="159">
        <v>0</v>
      </c>
      <c r="H13" s="159"/>
      <c r="I13" s="159">
        <f>E13+G13</f>
        <v>0</v>
      </c>
      <c r="J13" s="169"/>
      <c r="K13" s="169">
        <v>1</v>
      </c>
      <c r="L13" s="169"/>
      <c r="M13" s="53">
        <v>0</v>
      </c>
      <c r="N13" s="53"/>
      <c r="O13" s="53">
        <v>0</v>
      </c>
      <c r="P13" s="159"/>
      <c r="Q13" s="3">
        <v>0</v>
      </c>
      <c r="R13" s="55"/>
      <c r="S13" s="55"/>
      <c r="T13" s="110"/>
    </row>
    <row r="14" spans="1:20" s="277" customFormat="1" ht="25.5" customHeight="1" x14ac:dyDescent="0.45">
      <c r="A14" s="160" t="s">
        <v>124</v>
      </c>
      <c r="B14" s="151"/>
      <c r="C14" s="168">
        <v>1</v>
      </c>
      <c r="D14" s="151"/>
      <c r="E14" s="159">
        <v>0</v>
      </c>
      <c r="F14" s="159"/>
      <c r="G14" s="159">
        <v>0</v>
      </c>
      <c r="H14" s="159"/>
      <c r="I14" s="159">
        <f>E14+G14</f>
        <v>0</v>
      </c>
      <c r="J14" s="169"/>
      <c r="K14" s="169">
        <v>1</v>
      </c>
      <c r="L14" s="169"/>
      <c r="M14" s="53">
        <v>0</v>
      </c>
      <c r="N14" s="53"/>
      <c r="O14" s="53">
        <v>0</v>
      </c>
      <c r="P14" s="159"/>
      <c r="Q14" s="3">
        <v>0</v>
      </c>
      <c r="R14" s="55"/>
      <c r="S14" s="55"/>
      <c r="T14" s="110"/>
    </row>
    <row r="15" spans="1:20" ht="25.5" customHeight="1" thickBot="1" x14ac:dyDescent="0.5">
      <c r="A15" s="156"/>
      <c r="B15" s="156"/>
      <c r="C15" s="185"/>
      <c r="D15" s="156"/>
      <c r="E15" s="183">
        <f>SUM(E10:E14)</f>
        <v>0</v>
      </c>
      <c r="F15" s="169"/>
      <c r="G15" s="183">
        <f>SUM(G10:G14)</f>
        <v>0</v>
      </c>
      <c r="H15" s="169"/>
      <c r="I15" s="183">
        <f>SUM(I10:I14)</f>
        <v>0</v>
      </c>
      <c r="J15" s="169"/>
      <c r="K15" s="243"/>
      <c r="L15" s="169"/>
      <c r="M15" s="244">
        <f>SUM(M10:M14)</f>
        <v>0</v>
      </c>
      <c r="N15" s="169"/>
      <c r="O15" s="244">
        <f>SUM(O10:O14)</f>
        <v>0</v>
      </c>
      <c r="P15" s="169"/>
      <c r="Q15" s="244">
        <f>SUM(Q10:Q14)</f>
        <v>0</v>
      </c>
      <c r="R15" s="57"/>
      <c r="S15" s="55"/>
    </row>
    <row r="16" spans="1:20" ht="6" customHeight="1" thickTop="1" x14ac:dyDescent="0.45">
      <c r="D16" s="3"/>
      <c r="E16" s="49"/>
      <c r="G16" s="49"/>
      <c r="I16" s="49"/>
      <c r="J16" s="3"/>
      <c r="K16" s="3"/>
      <c r="L16" s="3"/>
      <c r="M16" s="49"/>
      <c r="N16" s="3"/>
      <c r="O16" s="49"/>
      <c r="P16" s="3"/>
      <c r="Q16" s="49"/>
      <c r="R16" s="57"/>
    </row>
    <row r="17" spans="1:18" ht="21" x14ac:dyDescent="0.45">
      <c r="A17" s="184"/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3"/>
      <c r="R17" s="57"/>
    </row>
    <row r="18" spans="1:18" ht="21" x14ac:dyDescent="0.45">
      <c r="A18" s="377" t="s">
        <v>31</v>
      </c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9"/>
      <c r="Q18" s="380"/>
      <c r="R18" s="57"/>
    </row>
    <row r="19" spans="1:18" ht="21" hidden="1" x14ac:dyDescent="0.45">
      <c r="Q19" s="55">
        <v>404211646970</v>
      </c>
      <c r="R19" s="57"/>
    </row>
    <row r="20" spans="1:18" ht="21" hidden="1" x14ac:dyDescent="0.45">
      <c r="G20" s="55"/>
      <c r="Q20" s="193">
        <f>Q15-Q19</f>
        <v>-404211646970</v>
      </c>
      <c r="R20" s="57"/>
    </row>
    <row r="21" spans="1:18" hidden="1" x14ac:dyDescent="0.45">
      <c r="Q21" s="55"/>
    </row>
    <row r="22" spans="1:18" ht="18.75" x14ac:dyDescent="0.45">
      <c r="E22" s="92"/>
      <c r="G22" s="55"/>
      <c r="I22" s="92"/>
      <c r="M22" s="159"/>
      <c r="Q22" s="55"/>
    </row>
    <row r="23" spans="1:18" ht="18.75" x14ac:dyDescent="0.45">
      <c r="I23" s="55"/>
      <c r="M23" s="159"/>
      <c r="Q23" s="55"/>
    </row>
    <row r="24" spans="1:18" ht="18.75" x14ac:dyDescent="0.45">
      <c r="I24" s="55"/>
      <c r="M24" s="159"/>
      <c r="O24" s="92"/>
    </row>
    <row r="25" spans="1:18" ht="18.75" x14ac:dyDescent="0.45">
      <c r="I25" s="99"/>
      <c r="M25" s="159"/>
    </row>
    <row r="26" spans="1:18" x14ac:dyDescent="0.45">
      <c r="I26" s="55"/>
      <c r="M26" s="92"/>
    </row>
    <row r="27" spans="1:18" x14ac:dyDescent="0.45">
      <c r="I27" s="99"/>
    </row>
    <row r="28" spans="1:18" x14ac:dyDescent="0.45">
      <c r="G28" s="55"/>
      <c r="I28" s="92"/>
    </row>
  </sheetData>
  <mergeCells count="7">
    <mergeCell ref="A18:Q18"/>
    <mergeCell ref="A1:Q1"/>
    <mergeCell ref="A2:Q2"/>
    <mergeCell ref="A3:Q3"/>
    <mergeCell ref="A5:Q5"/>
    <mergeCell ref="C7:I7"/>
    <mergeCell ref="K7:Q7"/>
  </mergeCells>
  <printOptions horizontalCentered="1"/>
  <pageMargins left="0.51181102362204722" right="0.51181102362204722" top="0.74803149606299213" bottom="0.55118110236220474" header="0.31496062992125984" footer="0.31496062992125984"/>
  <pageSetup paperSize="9" scale="83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100"/>
  <sheetViews>
    <sheetView rightToLeft="1" view="pageBreakPreview" topLeftCell="A5" zoomScaleNormal="100" zoomScaleSheetLayoutView="100" workbookViewId="0">
      <selection activeCell="U13" sqref="U13"/>
    </sheetView>
  </sheetViews>
  <sheetFormatPr defaultColWidth="9.125" defaultRowHeight="18" x14ac:dyDescent="0.45"/>
  <cols>
    <col min="1" max="1" width="21.875" style="45" customWidth="1"/>
    <col min="2" max="2" width="0.625" style="45" customWidth="1"/>
    <col min="3" max="3" width="13" style="45" bestFit="1" customWidth="1"/>
    <col min="4" max="4" width="0.875" style="45" customWidth="1"/>
    <col min="5" max="5" width="16.375" style="45" customWidth="1"/>
    <col min="6" max="6" width="0.875" style="45" customWidth="1"/>
    <col min="7" max="7" width="13.875" style="45" bestFit="1" customWidth="1"/>
    <col min="8" max="8" width="1" style="45" customWidth="1"/>
    <col min="9" max="9" width="15.625" style="45" customWidth="1"/>
    <col min="10" max="10" width="1.375" style="45" customWidth="1"/>
    <col min="11" max="11" width="11.25" style="94" customWidth="1"/>
    <col min="12" max="12" width="1.25" style="45" customWidth="1"/>
    <col min="13" max="13" width="15.25" style="45" customWidth="1"/>
    <col min="14" max="14" width="1" style="45" customWidth="1"/>
    <col min="15" max="15" width="16" style="45" customWidth="1"/>
    <col min="16" max="16" width="0.875" style="45" customWidth="1"/>
    <col min="17" max="17" width="15.75" style="45" customWidth="1"/>
    <col min="18" max="18" width="1" style="45" customWidth="1"/>
    <col min="19" max="19" width="18.5" style="45" customWidth="1"/>
    <col min="20" max="20" width="0.875" style="45" customWidth="1"/>
    <col min="21" max="21" width="13.125" style="45" customWidth="1"/>
    <col min="22" max="22" width="1.375" style="310" customWidth="1"/>
    <col min="23" max="16384" width="9.125" style="45"/>
  </cols>
  <sheetData>
    <row r="1" spans="1:23" ht="27.75" customHeight="1" x14ac:dyDescent="0.45">
      <c r="A1" s="337" t="str">
        <f>تیتر!B7</f>
        <v>صندوق سرمایه گذاری املاک و مستغلات خانه آگاه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</row>
    <row r="2" spans="1:23" ht="27.75" customHeight="1" x14ac:dyDescent="0.45">
      <c r="A2" s="337" t="str">
        <f>تیتر!B8</f>
        <v xml:space="preserve">صورت وضعیت درآمدها 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</row>
    <row r="3" spans="1:23" ht="27.75" customHeight="1" x14ac:dyDescent="0.45">
      <c r="A3" s="337" t="str">
        <f>تیتر!B9</f>
        <v>برای ماه منتهی به 1405/04/31</v>
      </c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</row>
    <row r="4" spans="1:23" ht="35.25" customHeight="1" x14ac:dyDescent="0.45"/>
    <row r="5" spans="1:23" s="130" customFormat="1" ht="30.75" customHeight="1" x14ac:dyDescent="0.6">
      <c r="A5" s="374" t="s">
        <v>78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5"/>
      <c r="T5" s="375"/>
      <c r="U5" s="375"/>
      <c r="V5" s="312"/>
    </row>
    <row r="6" spans="1:23" ht="36.75" customHeight="1" x14ac:dyDescent="0.45"/>
    <row r="7" spans="1:23" ht="30" customHeight="1" x14ac:dyDescent="0.45">
      <c r="C7" s="354" t="str">
        <f>تیتر!A11</f>
        <v>طی تیر ماه</v>
      </c>
      <c r="D7" s="355"/>
      <c r="E7" s="355"/>
      <c r="F7" s="355"/>
      <c r="G7" s="355"/>
      <c r="H7" s="355"/>
      <c r="I7" s="355"/>
      <c r="J7" s="355"/>
      <c r="K7" s="355"/>
      <c r="M7" s="354" t="str">
        <f>تیتر!B11</f>
        <v>از ابتدای سال مالی تا پایان تیر ماه 1405</v>
      </c>
      <c r="N7" s="355"/>
      <c r="O7" s="355"/>
      <c r="P7" s="355"/>
      <c r="Q7" s="355"/>
      <c r="R7" s="355"/>
      <c r="S7" s="355"/>
      <c r="T7" s="355"/>
      <c r="U7" s="355"/>
      <c r="V7" s="323"/>
    </row>
    <row r="8" spans="1:23" ht="59.25" customHeight="1" x14ac:dyDescent="0.45">
      <c r="A8" s="209" t="s">
        <v>32</v>
      </c>
      <c r="C8" s="267" t="s">
        <v>79</v>
      </c>
      <c r="D8" s="57"/>
      <c r="E8" s="208" t="s">
        <v>80</v>
      </c>
      <c r="F8" s="57"/>
      <c r="G8" s="208" t="s">
        <v>81</v>
      </c>
      <c r="I8" s="210" t="s">
        <v>33</v>
      </c>
      <c r="K8" s="211" t="s">
        <v>34</v>
      </c>
      <c r="M8" s="210" t="s">
        <v>79</v>
      </c>
      <c r="O8" s="210" t="s">
        <v>80</v>
      </c>
      <c r="Q8" s="210" t="s">
        <v>81</v>
      </c>
      <c r="S8" s="210" t="s">
        <v>33</v>
      </c>
      <c r="U8" s="210" t="s">
        <v>34</v>
      </c>
      <c r="V8" s="324"/>
    </row>
    <row r="9" spans="1:23" ht="19.5" customHeight="1" x14ac:dyDescent="0.45">
      <c r="A9" s="47"/>
      <c r="C9" s="266" t="s">
        <v>47</v>
      </c>
      <c r="D9" s="3"/>
      <c r="E9" s="3" t="s">
        <v>47</v>
      </c>
      <c r="F9" s="3"/>
      <c r="G9" s="3" t="s">
        <v>47</v>
      </c>
      <c r="H9" s="3"/>
      <c r="I9" s="3" t="s">
        <v>47</v>
      </c>
      <c r="J9" s="3"/>
      <c r="K9" s="91"/>
      <c r="L9" s="3"/>
      <c r="M9" s="3" t="s">
        <v>47</v>
      </c>
      <c r="N9" s="3"/>
      <c r="O9" s="3" t="s">
        <v>47</v>
      </c>
      <c r="P9" s="3"/>
      <c r="Q9" s="3" t="s">
        <v>47</v>
      </c>
      <c r="R9" s="3"/>
      <c r="S9" s="7" t="s">
        <v>47</v>
      </c>
      <c r="T9" s="48"/>
      <c r="U9" s="101" t="s">
        <v>43</v>
      </c>
      <c r="V9" s="311"/>
      <c r="W9" s="45">
        <v>-1</v>
      </c>
    </row>
    <row r="10" spans="1:23" s="150" customFormat="1" ht="25.5" customHeight="1" x14ac:dyDescent="0.2">
      <c r="A10" s="200" t="s">
        <v>107</v>
      </c>
      <c r="B10" s="245"/>
      <c r="C10" s="272">
        <v>0</v>
      </c>
      <c r="D10" s="199"/>
      <c r="E10" s="169">
        <v>-17078663391</v>
      </c>
      <c r="F10" s="199"/>
      <c r="G10" s="169">
        <v>-1626112648</v>
      </c>
      <c r="H10" s="199"/>
      <c r="I10" s="169">
        <f>C10+E10+G10</f>
        <v>-18704776039</v>
      </c>
      <c r="J10" s="98"/>
      <c r="K10" s="273">
        <f>I10/درآمدها!$E$15*100</f>
        <v>-62.739700188907612</v>
      </c>
      <c r="L10" s="98"/>
      <c r="M10" s="150">
        <v>0</v>
      </c>
      <c r="O10" s="169">
        <v>-17078663391</v>
      </c>
      <c r="P10" s="199"/>
      <c r="Q10" s="169">
        <v>-1626112648</v>
      </c>
      <c r="R10" s="169">
        <v>-1626112648</v>
      </c>
      <c r="S10" s="169">
        <f>O10+Q10+M10</f>
        <v>-18704776039</v>
      </c>
      <c r="T10" s="172">
        <v>-42189159980</v>
      </c>
      <c r="U10" s="274">
        <f>S10/درآمدها!$J$15*100</f>
        <v>-62.739700188907612</v>
      </c>
      <c r="V10" s="274"/>
    </row>
    <row r="11" spans="1:23" s="150" customFormat="1" ht="25.5" customHeight="1" x14ac:dyDescent="0.2">
      <c r="A11" s="200" t="s">
        <v>117</v>
      </c>
      <c r="B11" s="245"/>
      <c r="C11" s="168">
        <v>0</v>
      </c>
      <c r="D11" s="199"/>
      <c r="E11" s="169">
        <v>358206841</v>
      </c>
      <c r="F11" s="199"/>
      <c r="G11" s="169">
        <v>884340102</v>
      </c>
      <c r="H11" s="199"/>
      <c r="I11" s="169">
        <f t="shared" ref="I11:I16" si="0">C11+E11+G11</f>
        <v>1242546943</v>
      </c>
      <c r="J11" s="98"/>
      <c r="K11" s="273">
        <f>I11/درآمدها!$E$15*100</f>
        <v>4.1677602828240774</v>
      </c>
      <c r="L11" s="98"/>
      <c r="M11" s="150">
        <v>0</v>
      </c>
      <c r="O11" s="169">
        <v>358206841</v>
      </c>
      <c r="P11" s="199"/>
      <c r="Q11" s="169">
        <v>884340102</v>
      </c>
      <c r="R11" s="169">
        <v>884340102</v>
      </c>
      <c r="S11" s="169">
        <f t="shared" ref="S11:S16" si="1">O11+Q11+M11</f>
        <v>1242546943</v>
      </c>
      <c r="T11" s="172"/>
      <c r="U11" s="274">
        <f>S11/درآمدها!$J$15*100</f>
        <v>4.1677602828240774</v>
      </c>
      <c r="V11" s="274"/>
    </row>
    <row r="12" spans="1:23" s="150" customFormat="1" ht="25.5" customHeight="1" x14ac:dyDescent="0.2">
      <c r="A12" s="200" t="s">
        <v>63</v>
      </c>
      <c r="B12" s="245"/>
      <c r="C12" s="168">
        <v>0</v>
      </c>
      <c r="D12" s="199"/>
      <c r="E12" s="169">
        <v>0</v>
      </c>
      <c r="F12" s="199"/>
      <c r="G12" s="169">
        <v>750412982</v>
      </c>
      <c r="H12" s="199"/>
      <c r="I12" s="169">
        <f t="shared" si="0"/>
        <v>750412982</v>
      </c>
      <c r="J12" s="98"/>
      <c r="K12" s="273">
        <f>I12/درآمدها!$E$15*100</f>
        <v>2.5170408568581375</v>
      </c>
      <c r="L12" s="98"/>
      <c r="M12" s="150">
        <v>0</v>
      </c>
      <c r="O12" s="169">
        <v>0</v>
      </c>
      <c r="P12" s="199"/>
      <c r="Q12" s="169">
        <v>750412982</v>
      </c>
      <c r="R12" s="169">
        <v>750412982</v>
      </c>
      <c r="S12" s="169">
        <f t="shared" si="1"/>
        <v>750412982</v>
      </c>
      <c r="T12" s="172">
        <v>-3005939714</v>
      </c>
      <c r="U12" s="274">
        <f>S12/درآمدها!$J$15*100</f>
        <v>2.5170408568581375</v>
      </c>
      <c r="V12" s="274"/>
    </row>
    <row r="13" spans="1:23" s="150" customFormat="1" ht="25.5" customHeight="1" x14ac:dyDescent="0.2">
      <c r="A13" s="200" t="s">
        <v>69</v>
      </c>
      <c r="B13" s="245"/>
      <c r="C13" s="168">
        <v>0</v>
      </c>
      <c r="D13" s="199"/>
      <c r="E13" s="169">
        <v>1416961570</v>
      </c>
      <c r="F13" s="199"/>
      <c r="G13" s="169">
        <v>6205063366</v>
      </c>
      <c r="H13" s="199"/>
      <c r="I13" s="169">
        <f t="shared" si="0"/>
        <v>7622024936</v>
      </c>
      <c r="J13" s="98"/>
      <c r="K13" s="273">
        <f>I13/درآمدها!$E$15*100</f>
        <v>25.565853251594639</v>
      </c>
      <c r="L13" s="98"/>
      <c r="M13" s="150">
        <v>0</v>
      </c>
      <c r="O13" s="169">
        <v>1416961570</v>
      </c>
      <c r="P13" s="199"/>
      <c r="Q13" s="169">
        <v>6205063366</v>
      </c>
      <c r="R13" s="169">
        <v>6205063366</v>
      </c>
      <c r="S13" s="169">
        <f t="shared" si="1"/>
        <v>7622024936</v>
      </c>
      <c r="T13" s="172"/>
      <c r="U13" s="274">
        <f>S13/درآمدها!$J$15*100</f>
        <v>25.565853251594639</v>
      </c>
      <c r="V13" s="274"/>
    </row>
    <row r="14" spans="1:23" s="150" customFormat="1" ht="25.5" customHeight="1" x14ac:dyDescent="0.2">
      <c r="A14" s="200" t="s">
        <v>62</v>
      </c>
      <c r="B14" s="245"/>
      <c r="C14" s="168">
        <v>0</v>
      </c>
      <c r="D14" s="199"/>
      <c r="E14" s="169">
        <v>-24692582</v>
      </c>
      <c r="F14" s="199"/>
      <c r="G14" s="169">
        <v>-205331628</v>
      </c>
      <c r="H14" s="199"/>
      <c r="I14" s="169">
        <f t="shared" si="0"/>
        <v>-230024210</v>
      </c>
      <c r="J14" s="98"/>
      <c r="K14" s="273">
        <f>I14/درآمدها!$E$15*100</f>
        <v>-0.77154893175410999</v>
      </c>
      <c r="L14" s="98"/>
      <c r="M14" s="150">
        <v>0</v>
      </c>
      <c r="O14" s="169">
        <v>-24692582</v>
      </c>
      <c r="P14" s="199"/>
      <c r="Q14" s="169">
        <v>-205331628</v>
      </c>
      <c r="R14" s="169">
        <v>-205331628</v>
      </c>
      <c r="S14" s="169">
        <f t="shared" si="1"/>
        <v>-230024210</v>
      </c>
      <c r="T14" s="172">
        <v>-397206350</v>
      </c>
      <c r="U14" s="274">
        <f>S14/درآمدها!$J$15*100</f>
        <v>-0.77154893175410999</v>
      </c>
      <c r="V14" s="274"/>
    </row>
    <row r="15" spans="1:23" s="150" customFormat="1" ht="25.5" customHeight="1" x14ac:dyDescent="0.2">
      <c r="A15" s="200" t="s">
        <v>68</v>
      </c>
      <c r="B15" s="245"/>
      <c r="C15" s="168">
        <v>0</v>
      </c>
      <c r="D15" s="199"/>
      <c r="E15" s="169">
        <v>242202520</v>
      </c>
      <c r="F15" s="199"/>
      <c r="G15" s="169">
        <v>144223988</v>
      </c>
      <c r="H15" s="199"/>
      <c r="I15" s="169">
        <f t="shared" si="0"/>
        <v>386426508</v>
      </c>
      <c r="J15" s="98"/>
      <c r="K15" s="273">
        <f>I15/درآمدها!$E$15*100</f>
        <v>1.2961546936684232</v>
      </c>
      <c r="L15" s="98"/>
      <c r="M15" s="150">
        <v>0</v>
      </c>
      <c r="O15" s="169">
        <v>242202520</v>
      </c>
      <c r="P15" s="199"/>
      <c r="Q15" s="169">
        <v>144223988</v>
      </c>
      <c r="R15" s="169">
        <v>144223988</v>
      </c>
      <c r="S15" s="169">
        <f t="shared" si="1"/>
        <v>386426508</v>
      </c>
      <c r="T15" s="172">
        <v>-1095409092</v>
      </c>
      <c r="U15" s="274">
        <f>S15/درآمدها!$J$15*100</f>
        <v>1.2961546936684232</v>
      </c>
      <c r="V15" s="274"/>
    </row>
    <row r="16" spans="1:23" s="150" customFormat="1" ht="25.5" customHeight="1" x14ac:dyDescent="0.2">
      <c r="A16" s="200" t="s">
        <v>74</v>
      </c>
      <c r="B16" s="245"/>
      <c r="C16" s="168">
        <v>0</v>
      </c>
      <c r="D16" s="199"/>
      <c r="E16" s="169">
        <v>-3911152517</v>
      </c>
      <c r="F16" s="199"/>
      <c r="G16" s="169">
        <v>0</v>
      </c>
      <c r="H16" s="199"/>
      <c r="I16" s="169">
        <f t="shared" si="0"/>
        <v>-3911152517</v>
      </c>
      <c r="J16" s="98"/>
      <c r="K16" s="273">
        <f>I16/درآمدها!$E$15*100</f>
        <v>-13.118817129808852</v>
      </c>
      <c r="L16" s="98"/>
      <c r="M16" s="150">
        <v>0</v>
      </c>
      <c r="O16" s="169">
        <v>-3911152517</v>
      </c>
      <c r="P16" s="199"/>
      <c r="Q16" s="169">
        <v>0</v>
      </c>
      <c r="R16" s="169">
        <v>0</v>
      </c>
      <c r="S16" s="169">
        <f t="shared" si="1"/>
        <v>-3911152517</v>
      </c>
      <c r="T16" s="172"/>
      <c r="U16" s="274">
        <f>S16/درآمدها!$J$15*100</f>
        <v>-13.118817129808852</v>
      </c>
      <c r="V16" s="274"/>
    </row>
    <row r="17" spans="1:22" ht="27.75" customHeight="1" thickBot="1" x14ac:dyDescent="0.5">
      <c r="A17" s="3"/>
      <c r="C17" s="100">
        <f>SUM(C10:C16)</f>
        <v>0</v>
      </c>
      <c r="D17" s="113"/>
      <c r="E17" s="100">
        <f>SUM(E10:E16)</f>
        <v>-18997137559</v>
      </c>
      <c r="F17" s="113"/>
      <c r="G17" s="100">
        <f>SUM(G10:G16)</f>
        <v>6152596162</v>
      </c>
      <c r="H17" s="113"/>
      <c r="I17" s="100">
        <f>SUM(I10:I16)</f>
        <v>-12844541397</v>
      </c>
      <c r="J17" s="113"/>
      <c r="K17" s="203">
        <f>SUM(K10:K16)</f>
        <v>-43.083257165525296</v>
      </c>
      <c r="L17" s="113"/>
      <c r="M17" s="100">
        <f>SUM(M10:M16)</f>
        <v>0</v>
      </c>
      <c r="N17" s="113"/>
      <c r="O17" s="100">
        <f>SUM(O10:O16)</f>
        <v>-18997137559</v>
      </c>
      <c r="P17" s="113"/>
      <c r="Q17" s="100">
        <f>SUM(Q10:Q16)</f>
        <v>6152596162</v>
      </c>
      <c r="R17" s="113"/>
      <c r="S17" s="146">
        <f>SUM(S10:S16)</f>
        <v>-12844541397</v>
      </c>
      <c r="T17" s="113"/>
      <c r="U17" s="203">
        <f>SUM(U10:U16)</f>
        <v>-43.083257165525296</v>
      </c>
      <c r="V17" s="325"/>
    </row>
    <row r="18" spans="1:22" ht="7.5" customHeight="1" thickTop="1" x14ac:dyDescent="0.45">
      <c r="C18" s="188"/>
    </row>
    <row r="19" spans="1:22" ht="18.75" x14ac:dyDescent="0.45">
      <c r="E19" s="90"/>
      <c r="G19" s="90"/>
      <c r="I19" s="90"/>
      <c r="M19" s="55"/>
      <c r="O19" s="90"/>
      <c r="Q19" s="90"/>
    </row>
    <row r="20" spans="1:22" x14ac:dyDescent="0.45">
      <c r="E20" s="92"/>
      <c r="G20" s="92"/>
      <c r="M20" s="92"/>
      <c r="N20" s="92"/>
      <c r="O20" s="92"/>
      <c r="Q20" s="92"/>
    </row>
    <row r="21" spans="1:22" ht="18.75" x14ac:dyDescent="0.45">
      <c r="A21" s="4"/>
      <c r="C21" s="3"/>
      <c r="E21" s="3"/>
      <c r="G21" s="3"/>
      <c r="I21" s="3"/>
      <c r="M21" s="55"/>
      <c r="O21" s="55"/>
      <c r="Q21" s="55"/>
    </row>
    <row r="22" spans="1:22" ht="18.75" x14ac:dyDescent="0.45">
      <c r="A22" s="4"/>
      <c r="C22" s="3">
        <v>93000000</v>
      </c>
      <c r="E22" s="3"/>
      <c r="G22" s="3"/>
      <c r="I22" s="3"/>
      <c r="M22" s="99"/>
      <c r="O22" s="99"/>
      <c r="P22" s="99"/>
      <c r="Q22" s="99"/>
    </row>
    <row r="23" spans="1:22" ht="18.75" x14ac:dyDescent="0.45">
      <c r="A23" s="4"/>
      <c r="C23" s="3"/>
      <c r="E23" s="3"/>
      <c r="G23" s="3"/>
      <c r="I23" s="3"/>
      <c r="Q23" s="92"/>
    </row>
    <row r="24" spans="1:22" ht="18.75" x14ac:dyDescent="0.45">
      <c r="A24" s="4"/>
      <c r="C24" s="3"/>
      <c r="E24" s="3"/>
      <c r="G24" s="3"/>
      <c r="I24" s="3"/>
      <c r="Q24" s="92"/>
    </row>
    <row r="25" spans="1:22" ht="18.75" x14ac:dyDescent="0.45">
      <c r="A25" s="4"/>
      <c r="C25" s="3"/>
      <c r="E25" s="3"/>
      <c r="G25" s="3"/>
      <c r="I25" s="3"/>
      <c r="Q25" s="92"/>
    </row>
    <row r="26" spans="1:22" ht="18.75" x14ac:dyDescent="0.45">
      <c r="A26" s="4"/>
      <c r="C26" s="3"/>
      <c r="E26" s="3"/>
      <c r="G26" s="3"/>
      <c r="I26" s="3"/>
      <c r="Q26" s="55"/>
    </row>
    <row r="27" spans="1:22" ht="18.75" x14ac:dyDescent="0.45">
      <c r="A27" s="4"/>
      <c r="C27" s="3"/>
      <c r="E27" s="3"/>
      <c r="G27" s="3"/>
      <c r="I27" s="3"/>
      <c r="Q27" s="92"/>
    </row>
    <row r="28" spans="1:22" ht="18.75" x14ac:dyDescent="0.45">
      <c r="A28" s="4"/>
      <c r="C28" s="3"/>
      <c r="E28" s="3"/>
      <c r="G28" s="3"/>
      <c r="I28" s="3"/>
      <c r="Q28" s="92"/>
    </row>
    <row r="29" spans="1:22" ht="18.75" x14ac:dyDescent="0.45">
      <c r="A29" s="4"/>
      <c r="C29" s="3"/>
      <c r="E29" s="3"/>
      <c r="G29" s="3"/>
      <c r="I29" s="3"/>
    </row>
    <row r="30" spans="1:22" ht="18.75" x14ac:dyDescent="0.45">
      <c r="A30" s="4"/>
      <c r="C30" s="3"/>
      <c r="E30" s="3"/>
      <c r="G30" s="3"/>
      <c r="I30" s="3"/>
    </row>
    <row r="31" spans="1:22" ht="18.75" x14ac:dyDescent="0.45">
      <c r="A31" s="4"/>
      <c r="C31" s="3"/>
      <c r="E31" s="3"/>
      <c r="G31" s="3"/>
      <c r="I31" s="3"/>
    </row>
    <row r="32" spans="1:22" ht="18.75" x14ac:dyDescent="0.45">
      <c r="A32" s="4"/>
      <c r="C32" s="3"/>
      <c r="E32" s="3"/>
      <c r="G32" s="3"/>
      <c r="I32" s="3"/>
    </row>
    <row r="33" spans="1:9" ht="18.75" x14ac:dyDescent="0.45">
      <c r="A33" s="4"/>
      <c r="C33" s="3"/>
      <c r="E33" s="3"/>
      <c r="G33" s="3"/>
      <c r="I33" s="3"/>
    </row>
    <row r="34" spans="1:9" ht="18.75" x14ac:dyDescent="0.45">
      <c r="A34" s="4"/>
      <c r="C34" s="3"/>
      <c r="E34" s="3"/>
      <c r="G34" s="3"/>
      <c r="I34" s="3"/>
    </row>
    <row r="35" spans="1:9" ht="18.75" x14ac:dyDescent="0.45">
      <c r="A35" s="4"/>
      <c r="C35" s="3"/>
      <c r="E35" s="3"/>
      <c r="G35" s="3"/>
      <c r="I35" s="3"/>
    </row>
    <row r="36" spans="1:9" ht="18.75" x14ac:dyDescent="0.45">
      <c r="A36" s="4"/>
      <c r="C36" s="3"/>
      <c r="E36" s="3"/>
      <c r="G36" s="3"/>
      <c r="I36" s="3"/>
    </row>
    <row r="37" spans="1:9" ht="18.75" x14ac:dyDescent="0.45">
      <c r="A37" s="4"/>
      <c r="C37" s="3"/>
      <c r="E37" s="3"/>
      <c r="G37" s="3"/>
      <c r="I37" s="3"/>
    </row>
    <row r="38" spans="1:9" ht="18.75" x14ac:dyDescent="0.45">
      <c r="A38" s="4"/>
      <c r="C38" s="3"/>
      <c r="E38" s="3"/>
      <c r="G38" s="3"/>
      <c r="I38" s="3"/>
    </row>
    <row r="39" spans="1:9" ht="18.75" x14ac:dyDescent="0.45">
      <c r="A39" s="4"/>
      <c r="C39" s="3"/>
      <c r="E39" s="3"/>
      <c r="G39" s="3"/>
      <c r="I39" s="3"/>
    </row>
    <row r="40" spans="1:9" ht="18.75" x14ac:dyDescent="0.45">
      <c r="A40" s="4"/>
      <c r="C40" s="3"/>
      <c r="E40" s="3"/>
      <c r="G40" s="3"/>
      <c r="I40" s="3"/>
    </row>
    <row r="41" spans="1:9" ht="18.75" x14ac:dyDescent="0.45">
      <c r="A41" s="4"/>
      <c r="C41" s="3"/>
      <c r="E41" s="3"/>
      <c r="G41" s="3"/>
      <c r="I41" s="3"/>
    </row>
    <row r="42" spans="1:9" ht="18.75" x14ac:dyDescent="0.45">
      <c r="A42" s="4"/>
      <c r="C42" s="3"/>
      <c r="E42" s="3"/>
      <c r="G42" s="3"/>
      <c r="I42" s="3"/>
    </row>
    <row r="43" spans="1:9" ht="18.75" x14ac:dyDescent="0.45">
      <c r="A43" s="4"/>
      <c r="C43" s="3"/>
      <c r="E43" s="3"/>
      <c r="G43" s="3"/>
      <c r="I43" s="3"/>
    </row>
    <row r="44" spans="1:9" ht="18.75" x14ac:dyDescent="0.45">
      <c r="A44" s="4"/>
      <c r="C44" s="3"/>
      <c r="E44" s="3"/>
      <c r="G44" s="3"/>
      <c r="I44" s="3"/>
    </row>
    <row r="45" spans="1:9" ht="18.75" x14ac:dyDescent="0.45">
      <c r="A45" s="4"/>
      <c r="C45" s="3"/>
      <c r="E45" s="3"/>
      <c r="G45" s="3"/>
      <c r="I45" s="3"/>
    </row>
    <row r="46" spans="1:9" ht="18.75" x14ac:dyDescent="0.45">
      <c r="A46" s="4"/>
      <c r="C46" s="3"/>
      <c r="E46" s="3"/>
      <c r="G46" s="3"/>
      <c r="I46" s="3"/>
    </row>
    <row r="47" spans="1:9" ht="18.75" x14ac:dyDescent="0.45">
      <c r="A47" s="4"/>
      <c r="C47" s="3"/>
      <c r="E47" s="3"/>
      <c r="G47" s="3"/>
      <c r="I47" s="3"/>
    </row>
    <row r="48" spans="1:9" ht="18.75" x14ac:dyDescent="0.45">
      <c r="A48" s="4"/>
      <c r="C48" s="3"/>
      <c r="E48" s="3"/>
      <c r="G48" s="3"/>
      <c r="I48" s="3"/>
    </row>
    <row r="49" spans="1:9" ht="18.75" x14ac:dyDescent="0.45">
      <c r="A49" s="4"/>
      <c r="C49" s="3"/>
      <c r="E49" s="3"/>
      <c r="G49" s="3"/>
      <c r="I49" s="3"/>
    </row>
    <row r="50" spans="1:9" ht="18.75" x14ac:dyDescent="0.45">
      <c r="A50" s="4"/>
      <c r="C50" s="3"/>
      <c r="E50" s="3"/>
      <c r="G50" s="3"/>
      <c r="I50" s="3"/>
    </row>
    <row r="51" spans="1:9" ht="18.75" x14ac:dyDescent="0.45">
      <c r="A51" s="4"/>
      <c r="C51" s="3"/>
      <c r="E51" s="3"/>
      <c r="G51" s="3"/>
      <c r="I51" s="3"/>
    </row>
    <row r="52" spans="1:9" ht="18.75" x14ac:dyDescent="0.45">
      <c r="A52" s="4"/>
      <c r="C52" s="3"/>
      <c r="E52" s="3"/>
      <c r="G52" s="3"/>
      <c r="I52" s="3"/>
    </row>
    <row r="53" spans="1:9" ht="18.75" x14ac:dyDescent="0.45">
      <c r="A53" s="4"/>
      <c r="C53" s="3"/>
      <c r="E53" s="3"/>
      <c r="G53" s="3"/>
      <c r="I53" s="3"/>
    </row>
    <row r="54" spans="1:9" ht="18.75" x14ac:dyDescent="0.45">
      <c r="A54" s="4"/>
      <c r="C54" s="3"/>
      <c r="E54" s="3"/>
      <c r="G54" s="3"/>
      <c r="I54" s="3"/>
    </row>
    <row r="55" spans="1:9" ht="18.75" x14ac:dyDescent="0.45">
      <c r="A55" s="4"/>
      <c r="C55" s="3"/>
      <c r="E55" s="3"/>
      <c r="G55" s="3"/>
      <c r="I55" s="3"/>
    </row>
    <row r="56" spans="1:9" ht="18.75" x14ac:dyDescent="0.45">
      <c r="A56" s="4"/>
      <c r="C56" s="3"/>
      <c r="E56" s="3"/>
      <c r="G56" s="3"/>
      <c r="I56" s="3"/>
    </row>
    <row r="57" spans="1:9" ht="18.75" x14ac:dyDescent="0.45">
      <c r="A57" s="4"/>
      <c r="C57" s="3"/>
      <c r="E57" s="3"/>
      <c r="G57" s="3"/>
      <c r="I57" s="3"/>
    </row>
    <row r="58" spans="1:9" ht="18.75" x14ac:dyDescent="0.45">
      <c r="A58" s="4"/>
      <c r="C58" s="3"/>
      <c r="E58" s="3"/>
      <c r="G58" s="3"/>
      <c r="I58" s="3"/>
    </row>
    <row r="59" spans="1:9" ht="18.75" x14ac:dyDescent="0.45">
      <c r="A59" s="4"/>
      <c r="C59" s="3"/>
      <c r="E59" s="3"/>
      <c r="G59" s="3"/>
      <c r="I59" s="3"/>
    </row>
    <row r="60" spans="1:9" ht="18.75" x14ac:dyDescent="0.45">
      <c r="A60" s="4"/>
      <c r="C60" s="3"/>
      <c r="E60" s="3"/>
      <c r="G60" s="3"/>
      <c r="I60" s="3"/>
    </row>
    <row r="61" spans="1:9" ht="18.75" x14ac:dyDescent="0.45">
      <c r="A61" s="4"/>
      <c r="C61" s="3"/>
      <c r="E61" s="3"/>
      <c r="G61" s="3"/>
      <c r="I61" s="3"/>
    </row>
    <row r="62" spans="1:9" ht="18.75" x14ac:dyDescent="0.45">
      <c r="A62" s="4"/>
      <c r="C62" s="3"/>
      <c r="E62" s="3"/>
      <c r="G62" s="3"/>
      <c r="I62" s="3"/>
    </row>
    <row r="63" spans="1:9" ht="18.75" x14ac:dyDescent="0.45">
      <c r="A63" s="4"/>
      <c r="C63" s="3"/>
      <c r="E63" s="3"/>
      <c r="G63" s="3"/>
      <c r="I63" s="3"/>
    </row>
    <row r="64" spans="1:9" ht="18.75" x14ac:dyDescent="0.45">
      <c r="A64" s="4"/>
      <c r="C64" s="3"/>
      <c r="E64" s="3"/>
      <c r="G64" s="3"/>
      <c r="I64" s="3"/>
    </row>
    <row r="65" spans="1:9" ht="18.75" x14ac:dyDescent="0.45">
      <c r="A65" s="4"/>
      <c r="C65" s="3"/>
      <c r="E65" s="3"/>
      <c r="G65" s="3"/>
      <c r="I65" s="3"/>
    </row>
    <row r="66" spans="1:9" ht="18.75" x14ac:dyDescent="0.45">
      <c r="A66" s="4"/>
      <c r="C66" s="3"/>
      <c r="E66" s="3"/>
      <c r="G66" s="3"/>
      <c r="I66" s="3"/>
    </row>
    <row r="67" spans="1:9" ht="18.75" x14ac:dyDescent="0.45">
      <c r="A67" s="4"/>
      <c r="C67" s="3"/>
      <c r="E67" s="3"/>
      <c r="G67" s="3"/>
      <c r="I67" s="3"/>
    </row>
    <row r="68" spans="1:9" ht="18.75" x14ac:dyDescent="0.45">
      <c r="A68" s="4"/>
      <c r="C68" s="3"/>
      <c r="E68" s="3"/>
      <c r="G68" s="3"/>
      <c r="I68" s="3"/>
    </row>
    <row r="69" spans="1:9" ht="18.75" x14ac:dyDescent="0.45">
      <c r="A69" s="4"/>
      <c r="C69" s="3"/>
      <c r="E69" s="3"/>
      <c r="G69" s="3"/>
      <c r="I69" s="3"/>
    </row>
    <row r="70" spans="1:9" ht="18.75" x14ac:dyDescent="0.45">
      <c r="A70" s="4"/>
      <c r="C70" s="3"/>
      <c r="E70" s="3"/>
      <c r="G70" s="3"/>
      <c r="I70" s="3"/>
    </row>
    <row r="71" spans="1:9" ht="18.75" x14ac:dyDescent="0.45">
      <c r="A71" s="4"/>
      <c r="C71" s="3"/>
      <c r="E71" s="3"/>
      <c r="G71" s="3"/>
      <c r="I71" s="3"/>
    </row>
    <row r="72" spans="1:9" ht="18.75" x14ac:dyDescent="0.45">
      <c r="A72" s="4"/>
      <c r="C72" s="3"/>
      <c r="E72" s="3"/>
      <c r="G72" s="3"/>
      <c r="I72" s="3"/>
    </row>
    <row r="73" spans="1:9" ht="18.75" x14ac:dyDescent="0.45">
      <c r="A73" s="4"/>
      <c r="C73" s="3"/>
      <c r="E73" s="3"/>
      <c r="G73" s="3"/>
      <c r="I73" s="3"/>
    </row>
    <row r="74" spans="1:9" ht="18.75" x14ac:dyDescent="0.45">
      <c r="A74" s="4"/>
      <c r="C74" s="3"/>
      <c r="E74" s="3"/>
      <c r="G74" s="3"/>
      <c r="I74" s="3"/>
    </row>
    <row r="75" spans="1:9" ht="18.75" x14ac:dyDescent="0.45">
      <c r="A75" s="4"/>
      <c r="C75" s="3"/>
      <c r="E75" s="3"/>
      <c r="G75" s="3"/>
      <c r="I75" s="3"/>
    </row>
    <row r="76" spans="1:9" ht="18.75" x14ac:dyDescent="0.45">
      <c r="A76" s="4"/>
      <c r="C76" s="3"/>
      <c r="E76" s="3"/>
      <c r="G76" s="3"/>
      <c r="I76" s="3"/>
    </row>
    <row r="77" spans="1:9" ht="18.75" x14ac:dyDescent="0.45">
      <c r="A77" s="4"/>
      <c r="C77" s="3"/>
      <c r="E77" s="3"/>
      <c r="G77" s="3"/>
      <c r="I77" s="3"/>
    </row>
    <row r="78" spans="1:9" ht="18.75" x14ac:dyDescent="0.45">
      <c r="A78" s="4"/>
      <c r="C78" s="3"/>
      <c r="E78" s="3"/>
      <c r="G78" s="3"/>
      <c r="I78" s="3"/>
    </row>
    <row r="79" spans="1:9" ht="18.75" x14ac:dyDescent="0.45">
      <c r="A79" s="4"/>
      <c r="C79" s="3"/>
      <c r="E79" s="3"/>
      <c r="G79" s="3"/>
      <c r="I79" s="3"/>
    </row>
    <row r="80" spans="1:9" ht="18.75" x14ac:dyDescent="0.45">
      <c r="A80" s="4"/>
      <c r="C80" s="3"/>
      <c r="E80" s="3"/>
      <c r="G80" s="3"/>
      <c r="I80" s="3"/>
    </row>
    <row r="81" spans="1:9" ht="18.75" x14ac:dyDescent="0.45">
      <c r="A81" s="4"/>
      <c r="C81" s="3"/>
      <c r="E81" s="3"/>
      <c r="G81" s="3"/>
      <c r="I81" s="3"/>
    </row>
    <row r="82" spans="1:9" ht="18.75" x14ac:dyDescent="0.45">
      <c r="A82" s="4"/>
      <c r="C82" s="3"/>
      <c r="E82" s="3"/>
      <c r="G82" s="3"/>
      <c r="I82" s="3"/>
    </row>
    <row r="83" spans="1:9" ht="18.75" x14ac:dyDescent="0.45">
      <c r="A83" s="4"/>
      <c r="C83" s="3"/>
      <c r="E83" s="3"/>
      <c r="G83" s="3"/>
      <c r="I83" s="3"/>
    </row>
    <row r="84" spans="1:9" ht="18.75" x14ac:dyDescent="0.45">
      <c r="A84" s="4"/>
    </row>
    <row r="85" spans="1:9" ht="18.75" x14ac:dyDescent="0.45">
      <c r="A85" s="4"/>
    </row>
    <row r="86" spans="1:9" ht="18.75" x14ac:dyDescent="0.45">
      <c r="A86" s="4"/>
    </row>
    <row r="87" spans="1:9" ht="18.75" x14ac:dyDescent="0.45">
      <c r="A87" s="4"/>
    </row>
    <row r="88" spans="1:9" ht="18.75" x14ac:dyDescent="0.45">
      <c r="A88" s="4"/>
    </row>
    <row r="89" spans="1:9" ht="18.75" x14ac:dyDescent="0.45">
      <c r="A89" s="4"/>
    </row>
    <row r="90" spans="1:9" ht="18.75" x14ac:dyDescent="0.45">
      <c r="A90" s="4"/>
    </row>
    <row r="91" spans="1:9" ht="18.75" x14ac:dyDescent="0.45">
      <c r="A91" s="4"/>
    </row>
    <row r="92" spans="1:9" ht="18.75" x14ac:dyDescent="0.45">
      <c r="A92" s="4"/>
    </row>
    <row r="93" spans="1:9" ht="18.75" x14ac:dyDescent="0.45">
      <c r="A93" s="4"/>
    </row>
    <row r="94" spans="1:9" ht="18.75" x14ac:dyDescent="0.45">
      <c r="A94" s="4"/>
    </row>
    <row r="95" spans="1:9" ht="18.75" x14ac:dyDescent="0.45">
      <c r="A95" s="4"/>
    </row>
    <row r="96" spans="1:9" ht="18.75" x14ac:dyDescent="0.45">
      <c r="A96" s="4"/>
    </row>
    <row r="97" spans="1:1" ht="18.75" x14ac:dyDescent="0.45">
      <c r="A97" s="4"/>
    </row>
    <row r="98" spans="1:1" ht="18.75" x14ac:dyDescent="0.45">
      <c r="A98" s="4"/>
    </row>
    <row r="99" spans="1:1" ht="18.75" x14ac:dyDescent="0.45">
      <c r="A99" s="4"/>
    </row>
    <row r="100" spans="1:1" ht="18.75" x14ac:dyDescent="0.45">
      <c r="A100" s="4"/>
    </row>
  </sheetData>
  <mergeCells count="6">
    <mergeCell ref="A1:U1"/>
    <mergeCell ref="A2:U2"/>
    <mergeCell ref="A3:U3"/>
    <mergeCell ref="A5:U5"/>
    <mergeCell ref="C7:K7"/>
    <mergeCell ref="M7:U7"/>
  </mergeCells>
  <printOptions horizontalCentered="1"/>
  <pageMargins left="0.31496062992125984" right="0.31496062992125984" top="0.47244094488188981" bottom="0.39370078740157483" header="0.31496062992125984" footer="0.31496062992125984"/>
  <pageSetup paperSize="9" scale="71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rightToLeft="1" view="pageBreakPreview" zoomScale="95" zoomScaleNormal="100" zoomScaleSheetLayoutView="95" workbookViewId="0">
      <selection activeCell="Q10" sqref="Q10:Q13"/>
    </sheetView>
  </sheetViews>
  <sheetFormatPr defaultColWidth="9.125" defaultRowHeight="18" x14ac:dyDescent="0.45"/>
  <cols>
    <col min="1" max="1" width="21.875" style="45" customWidth="1"/>
    <col min="2" max="2" width="1.375" style="45" customWidth="1"/>
    <col min="3" max="3" width="11.375" style="45" customWidth="1"/>
    <col min="4" max="4" width="1.375" style="45" customWidth="1"/>
    <col min="5" max="5" width="13.75" style="45" customWidth="1"/>
    <col min="6" max="6" width="1.375" style="45" customWidth="1"/>
    <col min="7" max="7" width="10" style="45" customWidth="1"/>
    <col min="8" max="8" width="1.375" style="45" customWidth="1"/>
    <col min="9" max="9" width="14.375" style="45" customWidth="1"/>
    <col min="10" max="10" width="1.375" style="45" customWidth="1"/>
    <col min="11" max="11" width="13.625" style="45" customWidth="1"/>
    <col min="12" max="12" width="1.375" style="45" customWidth="1"/>
    <col min="13" max="13" width="14.375" style="45" customWidth="1"/>
    <col min="14" max="14" width="1.375" style="45" customWidth="1"/>
    <col min="15" max="15" width="16.375" style="45" customWidth="1"/>
    <col min="16" max="16" width="1.375" style="45" customWidth="1"/>
    <col min="17" max="17" width="16.25" style="45" customWidth="1"/>
    <col min="18" max="18" width="1.375" style="45" customWidth="1"/>
    <col min="19" max="19" width="16.875" style="45" customWidth="1"/>
    <col min="20" max="20" width="1.5" style="45" customWidth="1"/>
    <col min="21" max="16384" width="9.125" style="45"/>
  </cols>
  <sheetData>
    <row r="1" spans="1:20" ht="30.75" customHeight="1" x14ac:dyDescent="0.45">
      <c r="A1" s="337" t="str">
        <f>تیتر!B7</f>
        <v>صندوق سرمایه گذاری املاک و مستغلات خانه آگاه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</row>
    <row r="2" spans="1:20" ht="30.75" customHeight="1" x14ac:dyDescent="0.45">
      <c r="A2" s="337" t="str">
        <f>تیتر!B8</f>
        <v xml:space="preserve">صورت وضعیت درآمدها 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</row>
    <row r="3" spans="1:20" ht="30.75" customHeight="1" x14ac:dyDescent="0.45">
      <c r="A3" s="337" t="str">
        <f>تیتر!B9</f>
        <v>برای ماه منتهی به 1405/04/31</v>
      </c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</row>
    <row r="5" spans="1:20" s="56" customFormat="1" ht="24" x14ac:dyDescent="0.55000000000000004">
      <c r="A5" s="340" t="s">
        <v>82</v>
      </c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O5" s="341"/>
      <c r="P5" s="341"/>
      <c r="Q5" s="341"/>
      <c r="R5" s="341"/>
      <c r="S5" s="341"/>
    </row>
    <row r="7" spans="1:20" ht="21" x14ac:dyDescent="0.45">
      <c r="C7" s="354" t="s">
        <v>23</v>
      </c>
      <c r="D7" s="355"/>
      <c r="E7" s="355"/>
      <c r="F7" s="355"/>
      <c r="G7" s="355"/>
      <c r="I7" s="354" t="str">
        <f>تیتر!A11</f>
        <v>طی تیر ماه</v>
      </c>
      <c r="J7" s="355"/>
      <c r="K7" s="355"/>
      <c r="L7" s="355"/>
      <c r="M7" s="355"/>
      <c r="O7" s="354" t="str">
        <f>تیتر!B11</f>
        <v>از ابتدای سال مالی تا پایان تیر ماه 1405</v>
      </c>
      <c r="P7" s="355"/>
      <c r="Q7" s="355"/>
      <c r="R7" s="355"/>
      <c r="S7" s="355"/>
    </row>
    <row r="8" spans="1:20" ht="51.75" customHeight="1" x14ac:dyDescent="0.45">
      <c r="A8" s="5" t="s">
        <v>11</v>
      </c>
      <c r="C8" s="52" t="s">
        <v>24</v>
      </c>
      <c r="E8" s="52" t="s">
        <v>25</v>
      </c>
      <c r="G8" s="52" t="s">
        <v>26</v>
      </c>
      <c r="I8" s="52" t="s">
        <v>27</v>
      </c>
      <c r="K8" s="52" t="s">
        <v>28</v>
      </c>
      <c r="M8" s="52" t="s">
        <v>29</v>
      </c>
      <c r="O8" s="52" t="s">
        <v>27</v>
      </c>
      <c r="Q8" s="52" t="s">
        <v>28</v>
      </c>
      <c r="S8" s="52" t="s">
        <v>29</v>
      </c>
    </row>
    <row r="9" spans="1:20" ht="21.75" customHeight="1" x14ac:dyDescent="0.45">
      <c r="A9" s="47"/>
      <c r="C9" s="57"/>
      <c r="E9" s="57"/>
      <c r="G9" s="4" t="s">
        <v>47</v>
      </c>
      <c r="I9" s="4" t="s">
        <v>47</v>
      </c>
      <c r="K9" s="4" t="s">
        <v>47</v>
      </c>
      <c r="M9" s="4" t="s">
        <v>47</v>
      </c>
      <c r="O9" s="4" t="s">
        <v>47</v>
      </c>
      <c r="Q9" s="220" t="s">
        <v>47</v>
      </c>
      <c r="S9" s="220" t="s">
        <v>47</v>
      </c>
      <c r="T9" s="45">
        <v>-1</v>
      </c>
    </row>
    <row r="10" spans="1:20" s="248" customFormat="1" ht="25.5" customHeight="1" x14ac:dyDescent="0.45">
      <c r="A10" s="180" t="s">
        <v>69</v>
      </c>
      <c r="C10" s="200" t="s">
        <v>122</v>
      </c>
      <c r="D10" s="255"/>
      <c r="E10" s="256">
        <v>62998564</v>
      </c>
      <c r="F10" s="255"/>
      <c r="G10" s="256">
        <v>90</v>
      </c>
      <c r="H10" s="255"/>
      <c r="I10" s="252">
        <v>0</v>
      </c>
      <c r="J10" s="255"/>
      <c r="K10" s="252">
        <v>0</v>
      </c>
      <c r="L10" s="255"/>
      <c r="M10" s="254">
        <f>I10+K10</f>
        <v>0</v>
      </c>
      <c r="N10" s="255"/>
      <c r="O10" s="254">
        <f>K10+M10</f>
        <v>0</v>
      </c>
      <c r="P10" s="255"/>
      <c r="Q10" s="254">
        <f>M10+O10</f>
        <v>0</v>
      </c>
      <c r="R10" s="255"/>
      <c r="S10" s="257">
        <f>O10+Q10</f>
        <v>0</v>
      </c>
    </row>
    <row r="11" spans="1:20" s="150" customFormat="1" ht="25.5" customHeight="1" x14ac:dyDescent="0.2">
      <c r="A11" s="180" t="s">
        <v>117</v>
      </c>
      <c r="C11" s="200" t="s">
        <v>116</v>
      </c>
      <c r="D11" s="258"/>
      <c r="E11" s="256">
        <v>3894288</v>
      </c>
      <c r="G11" s="256">
        <v>75</v>
      </c>
      <c r="H11" s="258"/>
      <c r="I11" s="252">
        <v>0</v>
      </c>
      <c r="J11" s="259"/>
      <c r="K11" s="252">
        <v>0</v>
      </c>
      <c r="L11" s="205"/>
      <c r="M11" s="254">
        <f t="shared" ref="M11:Q13" si="0">I11+K11</f>
        <v>0</v>
      </c>
      <c r="N11" s="205"/>
      <c r="O11" s="254">
        <f t="shared" si="0"/>
        <v>0</v>
      </c>
      <c r="P11" s="258"/>
      <c r="Q11" s="254">
        <f t="shared" si="0"/>
        <v>0</v>
      </c>
      <c r="R11" s="258"/>
      <c r="S11" s="257">
        <f t="shared" ref="S11:S13" si="1">O11+Q11</f>
        <v>0</v>
      </c>
    </row>
    <row r="12" spans="1:20" s="150" customFormat="1" ht="25.5" customHeight="1" x14ac:dyDescent="0.2">
      <c r="A12" s="180" t="s">
        <v>107</v>
      </c>
      <c r="C12" s="200" t="s">
        <v>119</v>
      </c>
      <c r="D12" s="258"/>
      <c r="E12" s="256">
        <v>200000</v>
      </c>
      <c r="G12" s="256">
        <v>240</v>
      </c>
      <c r="H12" s="258"/>
      <c r="I12" s="252">
        <v>0</v>
      </c>
      <c r="J12" s="259"/>
      <c r="K12" s="252">
        <v>0</v>
      </c>
      <c r="L12" s="205"/>
      <c r="M12" s="254">
        <f t="shared" si="0"/>
        <v>0</v>
      </c>
      <c r="N12" s="205"/>
      <c r="O12" s="254">
        <f t="shared" si="0"/>
        <v>0</v>
      </c>
      <c r="P12" s="258"/>
      <c r="Q12" s="254">
        <f t="shared" si="0"/>
        <v>0</v>
      </c>
      <c r="R12" s="258"/>
      <c r="S12" s="257">
        <f t="shared" si="1"/>
        <v>0</v>
      </c>
    </row>
    <row r="13" spans="1:20" s="150" customFormat="1" ht="25.5" customHeight="1" x14ac:dyDescent="0.2">
      <c r="A13" s="180" t="s">
        <v>63</v>
      </c>
      <c r="C13" s="200" t="s">
        <v>127</v>
      </c>
      <c r="D13" s="258"/>
      <c r="E13" s="256">
        <v>27895011</v>
      </c>
      <c r="G13" s="256">
        <v>323</v>
      </c>
      <c r="H13" s="258"/>
      <c r="I13" s="252">
        <v>0</v>
      </c>
      <c r="J13" s="259"/>
      <c r="K13" s="252">
        <v>0</v>
      </c>
      <c r="L13" s="205"/>
      <c r="M13" s="254">
        <f t="shared" si="0"/>
        <v>0</v>
      </c>
      <c r="N13" s="205"/>
      <c r="O13" s="254">
        <f t="shared" si="0"/>
        <v>0</v>
      </c>
      <c r="P13" s="258"/>
      <c r="Q13" s="254">
        <f t="shared" si="0"/>
        <v>0</v>
      </c>
      <c r="R13" s="258"/>
      <c r="S13" s="257">
        <f t="shared" si="1"/>
        <v>0</v>
      </c>
    </row>
    <row r="14" spans="1:20" s="150" customFormat="1" ht="27" customHeight="1" thickBot="1" x14ac:dyDescent="0.25">
      <c r="A14" s="7"/>
      <c r="E14" s="3"/>
      <c r="F14" s="3"/>
      <c r="G14" s="3"/>
      <c r="H14" s="3"/>
      <c r="I14" s="93">
        <f>SUM(I10:I13)</f>
        <v>0</v>
      </c>
      <c r="J14" s="90"/>
      <c r="K14" s="93">
        <f>SUM(K10:K13)</f>
        <v>0</v>
      </c>
      <c r="L14" s="90"/>
      <c r="M14" s="93">
        <f>SUM(M10:M13)</f>
        <v>0</v>
      </c>
      <c r="N14" s="90"/>
      <c r="O14" s="93">
        <f>SUM(O10:O13)</f>
        <v>0</v>
      </c>
      <c r="P14" s="90"/>
      <c r="Q14" s="276">
        <f>SUM(Q10:Q13)</f>
        <v>0</v>
      </c>
      <c r="R14" s="90"/>
      <c r="S14" s="93">
        <f>SUM(S10:S13)</f>
        <v>0</v>
      </c>
    </row>
    <row r="15" spans="1:20" ht="24.75" customHeight="1" thickTop="1" x14ac:dyDescent="0.45"/>
    <row r="16" spans="1:20" ht="24.75" hidden="1" customHeight="1" x14ac:dyDescent="0.45">
      <c r="M16" s="172"/>
      <c r="O16" s="252">
        <f>'درآمد سرمایه گذاری در سهام '!M17</f>
        <v>0</v>
      </c>
    </row>
    <row r="17" spans="9:17" ht="24.75" hidden="1" customHeight="1" x14ac:dyDescent="0.45">
      <c r="M17" s="172"/>
      <c r="O17" s="92">
        <f>O14-O16</f>
        <v>0</v>
      </c>
    </row>
    <row r="18" spans="9:17" hidden="1" x14ac:dyDescent="0.45">
      <c r="I18" s="55"/>
      <c r="K18" s="55"/>
      <c r="O18" s="55"/>
      <c r="Q18" s="55"/>
    </row>
    <row r="19" spans="9:17" x14ac:dyDescent="0.45">
      <c r="I19" s="92"/>
      <c r="O19" s="92"/>
      <c r="Q19" s="92"/>
    </row>
  </sheetData>
  <mergeCells count="7">
    <mergeCell ref="A1:S1"/>
    <mergeCell ref="A2:S2"/>
    <mergeCell ref="A3:S3"/>
    <mergeCell ref="A5:S5"/>
    <mergeCell ref="C7:G7"/>
    <mergeCell ref="I7:M7"/>
    <mergeCell ref="O7:S7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75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2"/>
  <sheetViews>
    <sheetView rightToLeft="1" view="pageBreakPreview" zoomScaleNormal="100" zoomScaleSheetLayoutView="100" workbookViewId="0">
      <selection activeCell="A27" sqref="A27"/>
    </sheetView>
  </sheetViews>
  <sheetFormatPr defaultColWidth="9.125" defaultRowHeight="18" x14ac:dyDescent="0.45"/>
  <cols>
    <col min="1" max="1" width="33.625" style="45" bestFit="1" customWidth="1"/>
    <col min="2" max="2" width="0.75" style="45" customWidth="1"/>
    <col min="3" max="3" width="14.375" style="45" bestFit="1" customWidth="1"/>
    <col min="4" max="4" width="1.375" style="45" customWidth="1"/>
    <col min="5" max="5" width="14.125" style="45" customWidth="1"/>
    <col min="6" max="6" width="1.375" style="45" customWidth="1"/>
    <col min="7" max="7" width="14.25" style="45" customWidth="1"/>
    <col min="8" max="8" width="1" style="45" customWidth="1"/>
    <col min="9" max="9" width="16" style="45" customWidth="1"/>
    <col min="10" max="10" width="0.375" style="45" customWidth="1"/>
    <col min="11" max="11" width="10" style="45" bestFit="1" customWidth="1"/>
    <col min="12" max="12" width="1.375" style="45" customWidth="1"/>
    <col min="13" max="13" width="14.375" style="45" bestFit="1" customWidth="1"/>
    <col min="14" max="14" width="1.375" style="45" customWidth="1"/>
    <col min="15" max="15" width="14.75" style="45" customWidth="1"/>
    <col min="16" max="16" width="1" style="45" customWidth="1"/>
    <col min="17" max="17" width="16.375" style="45" bestFit="1" customWidth="1"/>
    <col min="18" max="18" width="1.25" style="45" customWidth="1"/>
    <col min="19" max="19" width="17.75" style="45" customWidth="1"/>
    <col min="20" max="20" width="1.125" style="45" customWidth="1"/>
    <col min="21" max="21" width="10" style="45" bestFit="1" customWidth="1"/>
    <col min="22" max="22" width="0.375" style="45" customWidth="1"/>
    <col min="23" max="16384" width="9.125" style="45"/>
  </cols>
  <sheetData>
    <row r="1" spans="1:21" ht="30" customHeight="1" x14ac:dyDescent="0.45">
      <c r="A1" s="337" t="str">
        <f>تیتر!B7</f>
        <v>صندوق سرمایه گذاری املاک و مستغلات خانه آگاه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</row>
    <row r="2" spans="1:21" ht="30" customHeight="1" x14ac:dyDescent="0.45">
      <c r="A2" s="337" t="str">
        <f>تیتر!B8</f>
        <v xml:space="preserve">صورت وضعیت درآمدها 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</row>
    <row r="3" spans="1:21" ht="30" customHeight="1" x14ac:dyDescent="0.45">
      <c r="A3" s="337" t="str">
        <f>تیتر!B9</f>
        <v>برای ماه منتهی به 1405/04/31</v>
      </c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</row>
    <row r="4" spans="1:21" ht="26.25" customHeight="1" x14ac:dyDescent="0.45"/>
    <row r="5" spans="1:21" s="56" customFormat="1" ht="24" x14ac:dyDescent="0.55000000000000004">
      <c r="A5" s="340" t="s">
        <v>85</v>
      </c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O5" s="341"/>
      <c r="P5" s="341"/>
      <c r="Q5" s="341"/>
      <c r="R5" s="341"/>
      <c r="S5" s="341"/>
    </row>
    <row r="7" spans="1:21" ht="21" x14ac:dyDescent="0.45">
      <c r="C7" s="383" t="str">
        <f>تیتر!A11</f>
        <v>طی تیر ماه</v>
      </c>
      <c r="D7" s="383"/>
      <c r="E7" s="383"/>
      <c r="F7" s="383"/>
      <c r="G7" s="383"/>
      <c r="H7" s="383"/>
      <c r="I7" s="383"/>
      <c r="J7" s="383"/>
      <c r="K7" s="383"/>
      <c r="M7" s="195"/>
      <c r="N7" s="195"/>
      <c r="O7" s="368" t="str">
        <f>تیتر!B11</f>
        <v>از ابتدای سال مالی تا پایان تیر ماه 1405</v>
      </c>
      <c r="P7" s="368"/>
      <c r="Q7" s="368"/>
      <c r="R7" s="368"/>
      <c r="S7" s="368"/>
      <c r="T7" s="368"/>
      <c r="U7" s="368"/>
    </row>
    <row r="8" spans="1:21" s="131" customFormat="1" ht="54.75" customHeight="1" x14ac:dyDescent="0.45">
      <c r="A8" s="148" t="s">
        <v>60</v>
      </c>
      <c r="C8" s="196" t="s">
        <v>108</v>
      </c>
      <c r="E8" s="197" t="s">
        <v>109</v>
      </c>
      <c r="G8" s="197" t="s">
        <v>110</v>
      </c>
      <c r="I8" s="197" t="s">
        <v>10</v>
      </c>
      <c r="J8" s="143"/>
      <c r="K8" s="197" t="s">
        <v>34</v>
      </c>
      <c r="L8" s="45"/>
      <c r="M8" s="149" t="str">
        <f>C8</f>
        <v>درآمد سود صندوق
2-3-1</v>
      </c>
      <c r="O8" s="149" t="s">
        <v>109</v>
      </c>
      <c r="Q8" s="112" t="s">
        <v>110</v>
      </c>
      <c r="S8" s="112" t="s">
        <v>10</v>
      </c>
      <c r="U8" s="112" t="s">
        <v>34</v>
      </c>
    </row>
    <row r="9" spans="1:21" ht="23.25" customHeight="1" x14ac:dyDescent="0.45">
      <c r="A9" s="102"/>
      <c r="C9" s="219" t="s">
        <v>47</v>
      </c>
      <c r="E9" s="111" t="s">
        <v>47</v>
      </c>
      <c r="G9" s="111" t="s">
        <v>47</v>
      </c>
      <c r="I9" s="111" t="s">
        <v>47</v>
      </c>
      <c r="J9" s="111"/>
      <c r="K9" s="111"/>
      <c r="L9" s="111"/>
      <c r="M9" s="111" t="s">
        <v>47</v>
      </c>
      <c r="N9" s="111"/>
      <c r="O9" s="111" t="s">
        <v>47</v>
      </c>
      <c r="P9" s="111"/>
      <c r="Q9" s="219" t="s">
        <v>47</v>
      </c>
      <c r="R9" s="111"/>
      <c r="S9" s="219" t="s">
        <v>47</v>
      </c>
    </row>
    <row r="10" spans="1:21" s="131" customFormat="1" ht="30.75" customHeight="1" x14ac:dyDescent="0.45">
      <c r="A10" s="200" t="s">
        <v>120</v>
      </c>
      <c r="B10" s="233"/>
      <c r="C10" s="253">
        <v>0</v>
      </c>
      <c r="D10" s="172"/>
      <c r="E10" s="253">
        <v>0</v>
      </c>
      <c r="F10" s="145"/>
      <c r="G10" s="253">
        <v>342062199</v>
      </c>
      <c r="H10" s="234"/>
      <c r="I10" s="145">
        <f>C10+E10+G10</f>
        <v>342062199</v>
      </c>
      <c r="J10" s="145"/>
      <c r="K10" s="177">
        <f>I10/درآمدها!$E$15*100</f>
        <v>1.147347595420116</v>
      </c>
      <c r="L10" s="145"/>
      <c r="M10" s="145">
        <v>0</v>
      </c>
      <c r="N10" s="145"/>
      <c r="O10" s="260">
        <v>0</v>
      </c>
      <c r="P10" s="145"/>
      <c r="Q10" s="145">
        <v>342062199</v>
      </c>
      <c r="R10" s="233"/>
      <c r="S10" s="145">
        <f>M10+O10+Q10</f>
        <v>342062199</v>
      </c>
      <c r="T10" s="234"/>
      <c r="U10" s="177">
        <f>S10/درآمدها!$J$15*100</f>
        <v>1.147347595420116</v>
      </c>
    </row>
    <row r="11" spans="1:21" s="131" customFormat="1" ht="30.75" customHeight="1" x14ac:dyDescent="0.45">
      <c r="A11" s="200" t="s">
        <v>131</v>
      </c>
      <c r="B11" s="233"/>
      <c r="C11" s="253">
        <v>0</v>
      </c>
      <c r="D11" s="172"/>
      <c r="E11" s="253">
        <v>199437903</v>
      </c>
      <c r="F11" s="145"/>
      <c r="G11" s="253">
        <v>6388403832</v>
      </c>
      <c r="H11" s="234"/>
      <c r="I11" s="145">
        <f t="shared" ref="I11:I15" si="0">C11+E11+G11</f>
        <v>6587841735</v>
      </c>
      <c r="J11" s="145"/>
      <c r="K11" s="177">
        <f>I11/درآمدها!$E$15*100</f>
        <v>22.096988196174621</v>
      </c>
      <c r="L11" s="145"/>
      <c r="M11" s="145">
        <v>0</v>
      </c>
      <c r="N11" s="145"/>
      <c r="O11" s="260">
        <v>199437903</v>
      </c>
      <c r="P11" s="145"/>
      <c r="Q11" s="145">
        <v>6388403832</v>
      </c>
      <c r="R11" s="233"/>
      <c r="S11" s="145">
        <f t="shared" ref="S11:S15" si="1">M11+O11+Q11</f>
        <v>6587841735</v>
      </c>
      <c r="T11" s="234"/>
      <c r="U11" s="177">
        <f>S11/درآمدها!$J$15*100</f>
        <v>22.096988196174621</v>
      </c>
    </row>
    <row r="12" spans="1:21" s="131" customFormat="1" ht="30.75" customHeight="1" x14ac:dyDescent="0.45">
      <c r="A12" s="200" t="s">
        <v>102</v>
      </c>
      <c r="B12" s="233"/>
      <c r="C12" s="253">
        <v>0</v>
      </c>
      <c r="D12" s="172"/>
      <c r="E12" s="253">
        <v>3670089961</v>
      </c>
      <c r="F12" s="145"/>
      <c r="G12" s="253">
        <v>22716510786</v>
      </c>
      <c r="H12" s="234"/>
      <c r="I12" s="145">
        <f t="shared" si="0"/>
        <v>26386600747</v>
      </c>
      <c r="J12" s="145"/>
      <c r="K12" s="177">
        <f>I12/درآمدها!$E$15*100</f>
        <v>88.506134284604428</v>
      </c>
      <c r="L12" s="145"/>
      <c r="M12" s="145">
        <v>0</v>
      </c>
      <c r="N12" s="145"/>
      <c r="O12" s="260">
        <v>3670089961</v>
      </c>
      <c r="P12" s="145"/>
      <c r="Q12" s="145">
        <v>22716510786</v>
      </c>
      <c r="R12" s="233"/>
      <c r="S12" s="145">
        <f t="shared" si="1"/>
        <v>26386600747</v>
      </c>
      <c r="T12" s="234"/>
      <c r="U12" s="177">
        <f>S12/درآمدها!$J$15*100</f>
        <v>88.506134284604428</v>
      </c>
    </row>
    <row r="13" spans="1:21" s="131" customFormat="1" ht="30.75" customHeight="1" x14ac:dyDescent="0.45">
      <c r="A13" s="160" t="s">
        <v>114</v>
      </c>
      <c r="B13" s="233"/>
      <c r="C13" s="253">
        <v>0</v>
      </c>
      <c r="D13" s="172"/>
      <c r="E13" s="253">
        <v>547807870</v>
      </c>
      <c r="F13" s="145"/>
      <c r="G13" s="253">
        <v>0</v>
      </c>
      <c r="H13" s="234"/>
      <c r="I13" s="145">
        <f t="shared" si="0"/>
        <v>547807870</v>
      </c>
      <c r="J13" s="145"/>
      <c r="K13" s="177">
        <f>I13/درآمدها!$E$15*100</f>
        <v>1.8374612694246155</v>
      </c>
      <c r="L13" s="145"/>
      <c r="M13" s="145">
        <v>0</v>
      </c>
      <c r="N13" s="145"/>
      <c r="O13" s="260">
        <v>547807870</v>
      </c>
      <c r="P13" s="145"/>
      <c r="Q13" s="145">
        <v>0</v>
      </c>
      <c r="R13" s="233"/>
      <c r="S13" s="145">
        <f t="shared" si="1"/>
        <v>547807870</v>
      </c>
      <c r="T13" s="234"/>
      <c r="U13" s="177">
        <f>S13/درآمدها!$J$15*100</f>
        <v>1.8374612694246155</v>
      </c>
    </row>
    <row r="14" spans="1:21" s="131" customFormat="1" ht="30.75" customHeight="1" x14ac:dyDescent="0.45">
      <c r="A14" s="160" t="s">
        <v>157</v>
      </c>
      <c r="B14" s="233"/>
      <c r="C14" s="253">
        <v>93000000</v>
      </c>
      <c r="D14" s="172"/>
      <c r="E14" s="253"/>
      <c r="F14" s="145"/>
      <c r="G14" s="253"/>
      <c r="H14" s="234"/>
      <c r="I14" s="145">
        <f t="shared" si="0"/>
        <v>93000000</v>
      </c>
      <c r="J14" s="145"/>
      <c r="K14" s="177">
        <f>I14/درآمدها!$E$15*100</f>
        <v>0.31194129806220061</v>
      </c>
      <c r="L14" s="145"/>
      <c r="M14" s="145">
        <v>93000000</v>
      </c>
      <c r="N14" s="145"/>
      <c r="O14" s="260"/>
      <c r="P14" s="145"/>
      <c r="Q14" s="145"/>
      <c r="R14" s="233"/>
      <c r="S14" s="145">
        <f t="shared" si="1"/>
        <v>93000000</v>
      </c>
      <c r="T14" s="234"/>
      <c r="U14" s="177">
        <f>S14/درآمدها!$J$15*100</f>
        <v>0.31194129806220061</v>
      </c>
    </row>
    <row r="15" spans="1:21" s="131" customFormat="1" ht="30.75" customHeight="1" x14ac:dyDescent="0.45">
      <c r="A15" s="160" t="s">
        <v>156</v>
      </c>
      <c r="B15" s="233"/>
      <c r="C15" s="253">
        <v>0</v>
      </c>
      <c r="D15" s="172"/>
      <c r="E15" s="253">
        <v>-546044944</v>
      </c>
      <c r="F15" s="145"/>
      <c r="G15" s="253">
        <v>0</v>
      </c>
      <c r="H15" s="234"/>
      <c r="I15" s="145">
        <f t="shared" si="0"/>
        <v>-546044944</v>
      </c>
      <c r="J15" s="145"/>
      <c r="K15" s="177">
        <f>I15/درآمدها!$E$15*100</f>
        <v>-1.8315480498028134</v>
      </c>
      <c r="L15" s="145"/>
      <c r="M15" s="145">
        <v>0</v>
      </c>
      <c r="N15" s="145"/>
      <c r="O15" s="260">
        <v>-546044944</v>
      </c>
      <c r="P15" s="145"/>
      <c r="Q15" s="145">
        <v>0</v>
      </c>
      <c r="R15" s="233"/>
      <c r="S15" s="145">
        <f t="shared" si="1"/>
        <v>-546044944</v>
      </c>
      <c r="T15" s="234"/>
      <c r="U15" s="177">
        <f>S15/درآمدها!$J$15*100</f>
        <v>-1.8315480498028134</v>
      </c>
    </row>
    <row r="16" spans="1:21" s="131" customFormat="1" ht="31.5" customHeight="1" thickBot="1" x14ac:dyDescent="0.5">
      <c r="C16" s="146">
        <f>SUM(C10:C15)</f>
        <v>93000000</v>
      </c>
      <c r="E16" s="146">
        <f>SUM(E10:E15)</f>
        <v>3871290790</v>
      </c>
      <c r="F16" s="144"/>
      <c r="G16" s="146">
        <f>SUM(G10:G15)</f>
        <v>29446976817</v>
      </c>
      <c r="H16" s="144"/>
      <c r="I16" s="146">
        <f>SUM(I10:I15)</f>
        <v>33411267607</v>
      </c>
      <c r="J16" s="147"/>
      <c r="K16" s="178">
        <f>SUM(K10:K15)</f>
        <v>112.06832459388316</v>
      </c>
      <c r="L16" s="144"/>
      <c r="M16" s="146">
        <f>SUM(M10:M15)</f>
        <v>93000000</v>
      </c>
      <c r="N16" s="144"/>
      <c r="O16" s="146">
        <f>SUM(O10:O15)</f>
        <v>3871290790</v>
      </c>
      <c r="P16" s="144"/>
      <c r="Q16" s="146">
        <f>SUM(Q10:Q15)</f>
        <v>29446976817</v>
      </c>
      <c r="R16" s="146"/>
      <c r="S16" s="146">
        <f>SUM(S10:S15)</f>
        <v>33411267607</v>
      </c>
      <c r="T16" s="144"/>
      <c r="U16" s="178">
        <f>SUM(U10:U15)</f>
        <v>112.06832459388316</v>
      </c>
    </row>
    <row r="17" spans="3:21" ht="18.75" thickTop="1" x14ac:dyDescent="0.45"/>
    <row r="18" spans="3:21" ht="39.75" hidden="1" customHeight="1" x14ac:dyDescent="0.45">
      <c r="C18" s="237">
        <v>88807680</v>
      </c>
      <c r="E18" s="237">
        <v>44653966488</v>
      </c>
      <c r="G18" s="237">
        <v>13266040322</v>
      </c>
      <c r="Q18" s="147"/>
    </row>
    <row r="19" spans="3:21" ht="24" hidden="1" customHeight="1" x14ac:dyDescent="0.45">
      <c r="C19" s="99">
        <f>C16-C18</f>
        <v>4192320</v>
      </c>
      <c r="E19" s="145">
        <f>E16-E18</f>
        <v>-40782675698</v>
      </c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</row>
    <row r="20" spans="3:21" ht="24" hidden="1" customHeight="1" x14ac:dyDescent="0.45">
      <c r="C20" s="55"/>
      <c r="E20" s="145">
        <v>46730282054</v>
      </c>
      <c r="F20" s="145"/>
      <c r="G20" s="145"/>
      <c r="H20" s="145"/>
      <c r="I20" s="145"/>
      <c r="J20" s="145"/>
      <c r="K20" s="145"/>
      <c r="L20" s="145"/>
      <c r="M20" s="145">
        <v>8995035123</v>
      </c>
      <c r="N20" s="145"/>
      <c r="O20" s="145">
        <v>380633343785</v>
      </c>
      <c r="P20" s="145"/>
      <c r="Q20" s="145"/>
      <c r="R20" s="145"/>
      <c r="S20" s="145"/>
      <c r="T20" s="145"/>
      <c r="U20" s="145"/>
    </row>
    <row r="21" spans="3:21" hidden="1" x14ac:dyDescent="0.45">
      <c r="C21" s="99"/>
      <c r="E21" s="99">
        <f>E16-E20</f>
        <v>-42858991264</v>
      </c>
      <c r="G21" s="55"/>
      <c r="I21" s="55"/>
      <c r="M21" s="99">
        <f>M16-M20</f>
        <v>-8902035123</v>
      </c>
      <c r="O21" s="99">
        <f>O16-O20</f>
        <v>-376762052995</v>
      </c>
      <c r="Q21" s="99"/>
    </row>
    <row r="22" spans="3:21" hidden="1" x14ac:dyDescent="0.45">
      <c r="I22" s="99"/>
    </row>
  </sheetData>
  <mergeCells count="6">
    <mergeCell ref="A1:S1"/>
    <mergeCell ref="A2:S2"/>
    <mergeCell ref="A3:S3"/>
    <mergeCell ref="A5:S5"/>
    <mergeCell ref="O7:U7"/>
    <mergeCell ref="C7:K7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6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K10"/>
  <sheetViews>
    <sheetView rightToLeft="1" view="pageBreakPreview" zoomScaleNormal="100" zoomScaleSheetLayoutView="100" workbookViewId="0">
      <selection activeCell="I10" sqref="I10"/>
    </sheetView>
  </sheetViews>
  <sheetFormatPr defaultRowHeight="12.75" x14ac:dyDescent="0.2"/>
  <cols>
    <col min="1" max="1" width="34.125" style="295" customWidth="1"/>
    <col min="2" max="2" width="1.125" style="295" customWidth="1"/>
    <col min="3" max="3" width="14.75" style="295" customWidth="1"/>
    <col min="4" max="4" width="1.125" style="295" customWidth="1"/>
    <col min="5" max="5" width="18.125" style="295" customWidth="1"/>
    <col min="6" max="6" width="1.125" style="295" customWidth="1"/>
    <col min="7" max="7" width="13.625" style="295" customWidth="1"/>
    <col min="8" max="8" width="1.125" style="295" customWidth="1"/>
    <col min="9" max="9" width="21.625" style="295" customWidth="1"/>
    <col min="10" max="10" width="1.125" style="295" customWidth="1"/>
    <col min="11" max="11" width="21" style="295" customWidth="1"/>
    <col min="12" max="12" width="0.25" style="295" customWidth="1"/>
    <col min="13" max="13" width="9.625" style="295" bestFit="1" customWidth="1"/>
    <col min="14" max="16384" width="9" style="295"/>
  </cols>
  <sheetData>
    <row r="1" spans="1:11" ht="29.1" customHeight="1" x14ac:dyDescent="0.2">
      <c r="A1" s="385" t="s">
        <v>61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 ht="21.75" customHeight="1" x14ac:dyDescent="0.2">
      <c r="A2" s="385" t="s">
        <v>138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</row>
    <row r="3" spans="1:11" ht="21.75" customHeight="1" x14ac:dyDescent="0.2">
      <c r="A3" s="385" t="s">
        <v>136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</row>
    <row r="4" spans="1:11" ht="14.45" customHeight="1" x14ac:dyDescent="0.2"/>
    <row r="5" spans="1:11" ht="27.75" customHeight="1" x14ac:dyDescent="0.2">
      <c r="A5" s="386" t="s">
        <v>146</v>
      </c>
      <c r="B5" s="386"/>
      <c r="C5" s="386"/>
      <c r="D5" s="386"/>
      <c r="E5" s="386"/>
      <c r="F5" s="386"/>
      <c r="G5" s="386"/>
      <c r="H5" s="386"/>
      <c r="I5" s="386"/>
      <c r="J5" s="386"/>
      <c r="K5" s="386"/>
    </row>
    <row r="6" spans="1:11" ht="40.5" customHeight="1" x14ac:dyDescent="0.2">
      <c r="C6" s="387"/>
      <c r="D6" s="387"/>
      <c r="E6" s="387"/>
      <c r="F6" s="387"/>
      <c r="G6" s="387"/>
      <c r="I6" s="301" t="str">
        <f>تیتر!A11</f>
        <v>طی تیر ماه</v>
      </c>
      <c r="K6" s="297" t="str">
        <f>تیتر!B11</f>
        <v>از ابتدای سال مالی تا پایان تیر ماه 1405</v>
      </c>
    </row>
    <row r="7" spans="1:11" ht="51" customHeight="1" x14ac:dyDescent="0.2">
      <c r="A7" s="296" t="s">
        <v>139</v>
      </c>
      <c r="C7" s="297" t="s">
        <v>140</v>
      </c>
      <c r="E7" s="297" t="s">
        <v>141</v>
      </c>
      <c r="G7" s="297" t="s">
        <v>142</v>
      </c>
      <c r="I7" s="298" t="s">
        <v>143</v>
      </c>
      <c r="K7" s="298" t="s">
        <v>143</v>
      </c>
    </row>
    <row r="8" spans="1:11" s="300" customFormat="1" ht="33.75" customHeight="1" x14ac:dyDescent="0.2">
      <c r="A8" s="299" t="s">
        <v>144</v>
      </c>
      <c r="C8" s="302" t="s">
        <v>145</v>
      </c>
      <c r="D8" s="303"/>
      <c r="E8" s="304">
        <v>4548096</v>
      </c>
      <c r="F8" s="303"/>
      <c r="G8" s="304">
        <v>1283</v>
      </c>
      <c r="H8" s="303"/>
      <c r="I8" s="304">
        <v>0</v>
      </c>
      <c r="J8" s="303"/>
      <c r="K8" s="304">
        <v>0</v>
      </c>
    </row>
    <row r="9" spans="1:11" ht="21.75" customHeight="1" thickBot="1" x14ac:dyDescent="0.25">
      <c r="A9" s="384" t="s">
        <v>147</v>
      </c>
      <c r="B9" s="384"/>
      <c r="C9" s="384"/>
      <c r="D9" s="384"/>
      <c r="E9" s="384"/>
      <c r="F9" s="384"/>
      <c r="G9" s="384"/>
      <c r="I9" s="305">
        <v>0</v>
      </c>
      <c r="J9" s="303"/>
      <c r="K9" s="305">
        <v>0</v>
      </c>
    </row>
    <row r="10" spans="1:11" ht="13.5" thickTop="1" x14ac:dyDescent="0.2"/>
  </sheetData>
  <mergeCells count="6">
    <mergeCell ref="A9:G9"/>
    <mergeCell ref="A1:K1"/>
    <mergeCell ref="A2:K2"/>
    <mergeCell ref="A3:K3"/>
    <mergeCell ref="A5:K5"/>
    <mergeCell ref="C6:G6"/>
  </mergeCells>
  <pageMargins left="0.39370078740157483" right="0.39370078740157483" top="0.39370078740157483" bottom="0.39370078740157483" header="0" footer="0"/>
  <pageSetup paperSize="9" scale="9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6"/>
  <sheetViews>
    <sheetView rightToLeft="1" view="pageBreakPreview" zoomScale="115" zoomScaleNormal="100" zoomScaleSheetLayoutView="115" workbookViewId="0">
      <selection activeCell="I12" sqref="I12"/>
    </sheetView>
  </sheetViews>
  <sheetFormatPr defaultColWidth="9.125" defaultRowHeight="18" x14ac:dyDescent="0.45"/>
  <cols>
    <col min="1" max="1" width="16.25" style="45" customWidth="1"/>
    <col min="2" max="2" width="1.375" style="45" customWidth="1"/>
    <col min="3" max="3" width="18.25" style="45" customWidth="1"/>
    <col min="4" max="4" width="1.375" style="45" customWidth="1"/>
    <col min="5" max="5" width="14.25" style="45" customWidth="1"/>
    <col min="6" max="6" width="1.375" style="45" customWidth="1"/>
    <col min="7" max="7" width="17.625" style="45" customWidth="1"/>
    <col min="8" max="8" width="1.375" style="45" customWidth="1"/>
    <col min="9" max="9" width="14.25" style="45" customWidth="1"/>
    <col min="10" max="10" width="26.375" style="45" customWidth="1"/>
    <col min="11" max="11" width="10.75" style="45" bestFit="1" customWidth="1"/>
    <col min="12" max="16384" width="9.125" style="45"/>
  </cols>
  <sheetData>
    <row r="1" spans="1:10" ht="31.5" customHeight="1" x14ac:dyDescent="0.45">
      <c r="A1" s="337" t="str">
        <f>تیتر!B7</f>
        <v>صندوق سرمایه گذاری املاک و مستغلات خانه آگاه</v>
      </c>
      <c r="B1" s="338"/>
      <c r="C1" s="338"/>
      <c r="D1" s="338"/>
      <c r="E1" s="338"/>
      <c r="F1" s="338"/>
      <c r="G1" s="338"/>
      <c r="H1" s="338"/>
      <c r="I1" s="338"/>
    </row>
    <row r="2" spans="1:10" ht="31.5" customHeight="1" x14ac:dyDescent="0.45">
      <c r="A2" s="337" t="str">
        <f>تیتر!B8</f>
        <v xml:space="preserve">صورت وضعیت درآمدها </v>
      </c>
      <c r="B2" s="338"/>
      <c r="C2" s="338"/>
      <c r="D2" s="338"/>
      <c r="E2" s="338"/>
      <c r="F2" s="338"/>
      <c r="G2" s="338"/>
      <c r="H2" s="338"/>
      <c r="I2" s="338"/>
    </row>
    <row r="3" spans="1:10" ht="31.5" customHeight="1" x14ac:dyDescent="0.45">
      <c r="A3" s="337" t="str">
        <f>تیتر!B9</f>
        <v>برای ماه منتهی به 1405/04/31</v>
      </c>
      <c r="B3" s="338"/>
      <c r="C3" s="338"/>
      <c r="D3" s="338"/>
      <c r="E3" s="338"/>
      <c r="F3" s="338"/>
      <c r="G3" s="338"/>
      <c r="H3" s="338"/>
      <c r="I3" s="338"/>
    </row>
    <row r="4" spans="1:10" ht="45" customHeight="1" x14ac:dyDescent="0.45"/>
    <row r="5" spans="1:10" s="56" customFormat="1" ht="33" customHeight="1" x14ac:dyDescent="0.6">
      <c r="A5" s="374" t="s">
        <v>86</v>
      </c>
      <c r="B5" s="375"/>
      <c r="C5" s="375"/>
      <c r="D5" s="375"/>
      <c r="E5" s="375"/>
      <c r="F5" s="375"/>
      <c r="G5" s="375"/>
      <c r="H5" s="375"/>
      <c r="I5" s="375"/>
    </row>
    <row r="6" spans="1:10" ht="26.25" customHeight="1" x14ac:dyDescent="0.45"/>
    <row r="7" spans="1:10" ht="26.25" customHeight="1" x14ac:dyDescent="0.45">
      <c r="A7" s="354"/>
      <c r="B7" s="355"/>
      <c r="C7" s="354" t="str">
        <f>تیتر!A11</f>
        <v>طی تیر ماه</v>
      </c>
      <c r="D7" s="355"/>
      <c r="E7" s="355"/>
      <c r="G7" s="354" t="str">
        <f>تیتر!B11</f>
        <v>از ابتدای سال مالی تا پایان تیر ماه 1405</v>
      </c>
      <c r="H7" s="355"/>
      <c r="I7" s="355"/>
    </row>
    <row r="8" spans="1:10" ht="64.5" customHeight="1" x14ac:dyDescent="0.45">
      <c r="A8" s="52" t="s">
        <v>35</v>
      </c>
      <c r="C8" s="115" t="s">
        <v>87</v>
      </c>
      <c r="E8" s="52" t="s">
        <v>36</v>
      </c>
      <c r="G8" s="52" t="str">
        <f>+C8</f>
        <v>‫سود سپرده بانکی و گواهی سپرده
2-4-1</v>
      </c>
      <c r="I8" s="52" t="s">
        <v>36</v>
      </c>
    </row>
    <row r="9" spans="1:10" ht="19.5" customHeight="1" x14ac:dyDescent="0.45">
      <c r="A9" s="57"/>
      <c r="C9" s="65" t="s">
        <v>47</v>
      </c>
      <c r="E9" s="57"/>
      <c r="G9" s="65" t="s">
        <v>47</v>
      </c>
      <c r="I9" s="57"/>
    </row>
    <row r="10" spans="1:10" s="269" customFormat="1" ht="25.5" customHeight="1" x14ac:dyDescent="0.45">
      <c r="A10" s="270" t="s">
        <v>133</v>
      </c>
      <c r="C10" s="65">
        <v>4351464001</v>
      </c>
      <c r="E10" s="275">
        <f>C10/$C$13*100</f>
        <v>99.944691943717743</v>
      </c>
      <c r="G10" s="65">
        <v>4351464001</v>
      </c>
      <c r="I10" s="275">
        <f>G10/$G$13*100</f>
        <v>99.944691943717743</v>
      </c>
    </row>
    <row r="11" spans="1:10" s="269" customFormat="1" ht="25.5" customHeight="1" x14ac:dyDescent="0.45">
      <c r="A11" s="270" t="s">
        <v>132</v>
      </c>
      <c r="C11" s="65">
        <v>1069765</v>
      </c>
      <c r="E11" s="275">
        <f>C11/$C$13*100</f>
        <v>2.457042810249626E-2</v>
      </c>
      <c r="G11" s="65">
        <v>1069765</v>
      </c>
      <c r="I11" s="275">
        <f>G11/$G$13*100</f>
        <v>2.457042810249626E-2</v>
      </c>
      <c r="J11" s="269">
        <v>0</v>
      </c>
    </row>
    <row r="12" spans="1:10" ht="25.5" customHeight="1" x14ac:dyDescent="0.45">
      <c r="A12" s="101" t="s">
        <v>134</v>
      </c>
      <c r="C12" s="143">
        <v>1338277</v>
      </c>
      <c r="D12" s="131"/>
      <c r="E12" s="275">
        <f t="shared" ref="E12" si="0">C12/$C$13*100</f>
        <v>3.0737628179763204E-2</v>
      </c>
      <c r="F12" s="131"/>
      <c r="G12" s="143">
        <v>1338277</v>
      </c>
      <c r="H12" s="131"/>
      <c r="I12" s="275">
        <f>G12/$G$13*100</f>
        <v>3.0737628179763204E-2</v>
      </c>
    </row>
    <row r="13" spans="1:10" ht="19.5" thickBot="1" x14ac:dyDescent="0.5">
      <c r="A13" s="3"/>
      <c r="C13" s="58">
        <f>SUM(C10:C12)</f>
        <v>4353872043</v>
      </c>
      <c r="E13" s="60">
        <f>SUM(E10:E12)</f>
        <v>100</v>
      </c>
      <c r="G13" s="58">
        <f>SUM(G10:G12)</f>
        <v>4353872043</v>
      </c>
      <c r="I13" s="60">
        <f>SUM(I10:I12)</f>
        <v>100</v>
      </c>
    </row>
    <row r="14" spans="1:10" ht="19.5" thickTop="1" x14ac:dyDescent="0.45">
      <c r="C14" s="49"/>
      <c r="E14" s="49"/>
      <c r="G14" s="49"/>
      <c r="I14" s="49"/>
    </row>
    <row r="15" spans="1:10" hidden="1" x14ac:dyDescent="0.45">
      <c r="C15" s="55">
        <v>1541525069</v>
      </c>
      <c r="G15" s="55">
        <v>12035684364</v>
      </c>
    </row>
    <row r="16" spans="1:10" hidden="1" x14ac:dyDescent="0.45">
      <c r="C16" s="59">
        <f>C13-C15</f>
        <v>2812346974</v>
      </c>
      <c r="G16" s="59">
        <f>G13-G15</f>
        <v>-7681812321</v>
      </c>
    </row>
  </sheetData>
  <mergeCells count="7">
    <mergeCell ref="A1:I1"/>
    <mergeCell ref="A2:I2"/>
    <mergeCell ref="A3:I3"/>
    <mergeCell ref="A5:I5"/>
    <mergeCell ref="A7:B7"/>
    <mergeCell ref="C7:E7"/>
    <mergeCell ref="G7:I7"/>
  </mergeCells>
  <printOptions horizontalCentered="1"/>
  <pageMargins left="0.51181102362204722" right="0.51181102362204722" top="0.74803149606299213" bottom="0.55118110236220474" header="0.31496062992125984" footer="0.31496062992125984"/>
  <pageSetup paperSize="9" scale="90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4"/>
  <sheetViews>
    <sheetView rightToLeft="1" view="pageBreakPreview" zoomScaleNormal="100" zoomScaleSheetLayoutView="100" workbookViewId="0">
      <selection activeCell="G20" sqref="G20"/>
    </sheetView>
  </sheetViews>
  <sheetFormatPr defaultColWidth="9.125" defaultRowHeight="18" x14ac:dyDescent="0.45"/>
  <cols>
    <col min="1" max="1" width="23.125" style="74" customWidth="1"/>
    <col min="2" max="2" width="1.375" style="74" customWidth="1"/>
    <col min="3" max="3" width="24" style="74" customWidth="1"/>
    <col min="4" max="4" width="1" style="74" customWidth="1"/>
    <col min="5" max="5" width="23.875" style="74" customWidth="1"/>
    <col min="6" max="6" width="1.25" style="74" customWidth="1"/>
    <col min="7" max="7" width="9.125" style="74"/>
    <col min="8" max="8" width="9.375" style="74" bestFit="1" customWidth="1"/>
    <col min="9" max="16384" width="9.125" style="74"/>
  </cols>
  <sheetData>
    <row r="1" spans="1:8" ht="24" customHeight="1" x14ac:dyDescent="0.45">
      <c r="A1" s="388" t="str">
        <f>تیتر!B7</f>
        <v>صندوق سرمایه گذاری املاک و مستغلات خانه آگاه</v>
      </c>
      <c r="B1" s="388"/>
      <c r="C1" s="388"/>
      <c r="D1" s="388"/>
      <c r="E1" s="388"/>
    </row>
    <row r="2" spans="1:8" ht="24" customHeight="1" x14ac:dyDescent="0.45">
      <c r="A2" s="388" t="str">
        <f>تیتر!B8</f>
        <v xml:space="preserve">صورت وضعیت درآمدها </v>
      </c>
      <c r="B2" s="388"/>
      <c r="C2" s="388"/>
      <c r="D2" s="388"/>
      <c r="E2" s="388"/>
    </row>
    <row r="3" spans="1:8" ht="24" customHeight="1" x14ac:dyDescent="0.45">
      <c r="A3" s="388" t="str">
        <f>تیتر!B9</f>
        <v>برای ماه منتهی به 1405/04/31</v>
      </c>
      <c r="B3" s="388"/>
      <c r="C3" s="388"/>
      <c r="D3" s="388"/>
      <c r="E3" s="388"/>
    </row>
    <row r="4" spans="1:8" ht="31.5" customHeight="1" x14ac:dyDescent="0.45">
      <c r="A4" s="179"/>
      <c r="B4" s="179"/>
      <c r="C4" s="179"/>
      <c r="D4" s="179"/>
      <c r="E4" s="179"/>
    </row>
    <row r="5" spans="1:8" ht="46.5" customHeight="1" x14ac:dyDescent="0.45"/>
    <row r="6" spans="1:8" s="75" customFormat="1" ht="24" x14ac:dyDescent="0.55000000000000004">
      <c r="A6" s="389" t="s">
        <v>89</v>
      </c>
      <c r="B6" s="390"/>
      <c r="C6" s="390"/>
      <c r="D6" s="390"/>
      <c r="E6" s="390"/>
    </row>
    <row r="7" spans="1:8" ht="39" customHeight="1" x14ac:dyDescent="0.45"/>
    <row r="8" spans="1:8" ht="40.5" customHeight="1" thickBot="1" x14ac:dyDescent="0.5">
      <c r="C8" s="76" t="str">
        <f>تیتر!A11</f>
        <v>طی تیر ماه</v>
      </c>
      <c r="E8" s="77" t="str">
        <f>تیتر!B11</f>
        <v>از ابتدای سال مالی تا پایان تیر ماه 1405</v>
      </c>
    </row>
    <row r="9" spans="1:8" ht="20.25" customHeight="1" x14ac:dyDescent="0.45">
      <c r="C9" s="78" t="s">
        <v>47</v>
      </c>
      <c r="E9" s="78" t="s">
        <v>47</v>
      </c>
    </row>
    <row r="10" spans="1:8" s="79" customFormat="1" ht="29.25" customHeight="1" x14ac:dyDescent="0.2">
      <c r="A10" s="103" t="s">
        <v>92</v>
      </c>
      <c r="C10" s="117">
        <v>179940170</v>
      </c>
      <c r="D10" s="80"/>
      <c r="E10" s="80">
        <v>179940170</v>
      </c>
      <c r="F10" s="81"/>
      <c r="H10" s="81"/>
    </row>
    <row r="11" spans="1:8" s="79" customFormat="1" ht="29.25" customHeight="1" x14ac:dyDescent="0.2">
      <c r="A11" s="79" t="s">
        <v>64</v>
      </c>
      <c r="C11" s="117">
        <v>462763175</v>
      </c>
      <c r="D11" s="117"/>
      <c r="E11" s="117">
        <v>462763175</v>
      </c>
      <c r="F11" s="118"/>
      <c r="H11" s="81"/>
    </row>
    <row r="12" spans="1:8" ht="30" customHeight="1" thickBot="1" x14ac:dyDescent="0.5">
      <c r="C12" s="119">
        <f>SUM(C10:C11)</f>
        <v>642703345</v>
      </c>
      <c r="D12" s="120"/>
      <c r="E12" s="119">
        <f>SUM(E10:E11)</f>
        <v>642703345</v>
      </c>
      <c r="F12" s="120"/>
      <c r="H12" s="82"/>
    </row>
    <row r="13" spans="1:8" ht="19.5" thickTop="1" x14ac:dyDescent="0.45">
      <c r="C13" s="121"/>
      <c r="D13" s="120"/>
      <c r="E13" s="121"/>
      <c r="F13" s="120"/>
      <c r="H13" s="82"/>
    </row>
    <row r="14" spans="1:8" ht="23.25" customHeight="1" x14ac:dyDescent="0.45">
      <c r="C14" s="82"/>
    </row>
  </sheetData>
  <mergeCells count="4">
    <mergeCell ref="A1:E1"/>
    <mergeCell ref="A2:E2"/>
    <mergeCell ref="A3:E3"/>
    <mergeCell ref="A6:E6"/>
  </mergeCells>
  <printOptions horizontalCentered="1"/>
  <pageMargins left="0.70866141732283472" right="0.70866141732283472" top="0.74803149606299213" bottom="0.55118110236220474" header="0.31496062992125984" footer="0.31496062992125984"/>
  <pageSetup paperSize="9" scale="95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T32"/>
  <sheetViews>
    <sheetView rightToLeft="1" view="pageBreakPreview" topLeftCell="A4" zoomScaleNormal="100" zoomScaleSheetLayoutView="100" workbookViewId="0">
      <selection activeCell="G19" sqref="G19"/>
    </sheetView>
  </sheetViews>
  <sheetFormatPr defaultColWidth="9" defaultRowHeight="18" x14ac:dyDescent="0.45"/>
  <cols>
    <col min="1" max="1" width="34.125" style="45" customWidth="1"/>
    <col min="2" max="2" width="1.375" style="45" customWidth="1"/>
    <col min="3" max="3" width="12.75" style="45" customWidth="1"/>
    <col min="4" max="4" width="1.375" style="45" customWidth="1"/>
    <col min="5" max="5" width="17" style="45" customWidth="1"/>
    <col min="6" max="6" width="1.375" style="45" customWidth="1"/>
    <col min="7" max="7" width="16.75" style="45" bestFit="1" customWidth="1"/>
    <col min="8" max="8" width="0.875" style="45" customWidth="1"/>
    <col min="9" max="9" width="14.25" style="45" customWidth="1"/>
    <col min="10" max="10" width="1.375" style="45" customWidth="1"/>
    <col min="11" max="11" width="12.75" style="45" customWidth="1"/>
    <col min="12" max="12" width="1.375" style="45" customWidth="1"/>
    <col min="13" max="13" width="20.125" style="45" customWidth="1"/>
    <col min="14" max="14" width="1.375" style="45" customWidth="1"/>
    <col min="15" max="15" width="16.75" style="45" bestFit="1" customWidth="1"/>
    <col min="16" max="16" width="1.375" style="45" customWidth="1"/>
    <col min="17" max="17" width="17" style="45" customWidth="1"/>
    <col min="18" max="16384" width="9" style="45"/>
  </cols>
  <sheetData>
    <row r="1" spans="1:20" ht="25.5" customHeight="1" x14ac:dyDescent="0.45">
      <c r="A1" s="337" t="str">
        <f>تیتر!B7</f>
        <v>صندوق سرمایه گذاری املاک و مستغلات خانه آگاه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</row>
    <row r="2" spans="1:20" ht="25.5" customHeight="1" x14ac:dyDescent="0.45">
      <c r="A2" s="337" t="str">
        <f>تیتر!B8</f>
        <v xml:space="preserve">صورت وضعیت درآمدها 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</row>
    <row r="3" spans="1:20" ht="25.5" customHeight="1" x14ac:dyDescent="0.45">
      <c r="A3" s="337" t="str">
        <f>تیتر!B9</f>
        <v>برای ماه منتهی به 1405/04/31</v>
      </c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</row>
    <row r="5" spans="1:20" s="56" customFormat="1" ht="25.5" customHeight="1" x14ac:dyDescent="0.55000000000000004">
      <c r="A5" s="381" t="s">
        <v>84</v>
      </c>
      <c r="B5" s="382"/>
      <c r="C5" s="382"/>
      <c r="D5" s="382"/>
      <c r="E5" s="382"/>
      <c r="F5" s="382"/>
      <c r="G5" s="382"/>
      <c r="H5" s="382"/>
      <c r="I5" s="382"/>
      <c r="J5" s="382"/>
      <c r="K5" s="382"/>
      <c r="L5" s="382"/>
      <c r="M5" s="382"/>
      <c r="N5" s="382"/>
      <c r="O5" s="382"/>
      <c r="P5" s="382"/>
      <c r="Q5" s="382"/>
    </row>
    <row r="6" spans="1:20" ht="18.75" customHeight="1" x14ac:dyDescent="0.45"/>
    <row r="7" spans="1:20" ht="18.75" customHeight="1" x14ac:dyDescent="0.45">
      <c r="C7" s="354" t="str">
        <f>تیتر!A11</f>
        <v>طی تیر ماه</v>
      </c>
      <c r="D7" s="355"/>
      <c r="E7" s="355"/>
      <c r="F7" s="355"/>
      <c r="G7" s="355"/>
      <c r="H7" s="355"/>
      <c r="I7" s="355"/>
      <c r="K7" s="354" t="str">
        <f>تیتر!B11</f>
        <v>از ابتدای سال مالی تا پایان تیر ماه 1405</v>
      </c>
      <c r="L7" s="355"/>
      <c r="M7" s="355"/>
      <c r="N7" s="355"/>
      <c r="O7" s="355"/>
      <c r="P7" s="355"/>
      <c r="Q7" s="355"/>
    </row>
    <row r="8" spans="1:20" ht="42" x14ac:dyDescent="0.45">
      <c r="A8" s="5" t="s">
        <v>17</v>
      </c>
      <c r="C8" s="52" t="s">
        <v>2</v>
      </c>
      <c r="E8" s="52" t="s">
        <v>4</v>
      </c>
      <c r="G8" s="52" t="s">
        <v>30</v>
      </c>
      <c r="I8" s="52" t="s">
        <v>54</v>
      </c>
      <c r="K8" s="52" t="s">
        <v>2</v>
      </c>
      <c r="M8" s="52" t="s">
        <v>4</v>
      </c>
      <c r="O8" s="52" t="s">
        <v>30</v>
      </c>
      <c r="Q8" s="52" t="s">
        <v>54</v>
      </c>
    </row>
    <row r="9" spans="1:20" ht="21" customHeight="1" x14ac:dyDescent="0.45">
      <c r="A9" s="4"/>
      <c r="C9" s="3"/>
      <c r="E9" s="3" t="s">
        <v>47</v>
      </c>
      <c r="G9" s="3" t="s">
        <v>47</v>
      </c>
      <c r="I9" s="3" t="s">
        <v>47</v>
      </c>
      <c r="K9" s="3"/>
      <c r="M9" s="3" t="s">
        <v>47</v>
      </c>
      <c r="O9" s="3" t="s">
        <v>47</v>
      </c>
      <c r="Q9" s="3" t="s">
        <v>47</v>
      </c>
    </row>
    <row r="10" spans="1:20" ht="21.75" customHeight="1" x14ac:dyDescent="0.45">
      <c r="A10" s="170" t="s">
        <v>107</v>
      </c>
      <c r="B10" s="155"/>
      <c r="C10" s="249">
        <v>1445844</v>
      </c>
      <c r="D10" s="113"/>
      <c r="E10" s="253">
        <v>27095933262</v>
      </c>
      <c r="F10" s="113"/>
      <c r="G10" s="145">
        <v>-28722045910</v>
      </c>
      <c r="H10" s="113"/>
      <c r="I10" s="263">
        <f>E10+G10</f>
        <v>-1626112648</v>
      </c>
      <c r="J10" s="113"/>
      <c r="K10" s="263">
        <v>1445844</v>
      </c>
      <c r="L10" s="113"/>
      <c r="M10" s="263">
        <v>27095933262</v>
      </c>
      <c r="N10" s="113"/>
      <c r="O10" s="145">
        <v>-28722045910</v>
      </c>
      <c r="P10" s="113"/>
      <c r="Q10" s="263">
        <f>M10+O10</f>
        <v>-1626112648</v>
      </c>
      <c r="R10" s="45">
        <v>-1</v>
      </c>
    </row>
    <row r="11" spans="1:20" ht="21.75" customHeight="1" x14ac:dyDescent="0.45">
      <c r="A11" s="170" t="s">
        <v>117</v>
      </c>
      <c r="B11" s="155"/>
      <c r="C11" s="249">
        <v>4347460</v>
      </c>
      <c r="D11" s="113"/>
      <c r="E11" s="253">
        <v>13407458653</v>
      </c>
      <c r="F11" s="113"/>
      <c r="G11" s="145">
        <v>-12523118551</v>
      </c>
      <c r="H11" s="113"/>
      <c r="I11" s="263">
        <f t="shared" ref="I11:I18" si="0">E11+G11</f>
        <v>884340102</v>
      </c>
      <c r="J11" s="113"/>
      <c r="K11" s="263">
        <v>4347460</v>
      </c>
      <c r="L11" s="113"/>
      <c r="M11" s="263">
        <v>13407458653</v>
      </c>
      <c r="N11" s="113"/>
      <c r="O11" s="145">
        <v>-12523118551</v>
      </c>
      <c r="P11" s="113"/>
      <c r="Q11" s="263">
        <f t="shared" ref="Q11:Q18" si="1">M11+O11</f>
        <v>884340102</v>
      </c>
    </row>
    <row r="12" spans="1:20" s="150" customFormat="1" ht="21.75" customHeight="1" x14ac:dyDescent="0.2">
      <c r="A12" s="170" t="s">
        <v>63</v>
      </c>
      <c r="B12" s="154"/>
      <c r="C12" s="249">
        <v>79088584</v>
      </c>
      <c r="D12" s="158"/>
      <c r="E12" s="253">
        <v>121090365336</v>
      </c>
      <c r="F12" s="158"/>
      <c r="G12" s="145">
        <v>-120339952354</v>
      </c>
      <c r="H12" s="158"/>
      <c r="I12" s="263">
        <f t="shared" si="0"/>
        <v>750412982</v>
      </c>
      <c r="J12" s="158"/>
      <c r="K12" s="263">
        <v>79088584</v>
      </c>
      <c r="L12" s="158"/>
      <c r="M12" s="263">
        <v>121090365336</v>
      </c>
      <c r="N12" s="158"/>
      <c r="O12" s="145">
        <v>-120339952354</v>
      </c>
      <c r="P12" s="158"/>
      <c r="Q12" s="263">
        <f t="shared" si="1"/>
        <v>750412982</v>
      </c>
      <c r="T12" s="222"/>
    </row>
    <row r="13" spans="1:20" s="150" customFormat="1" ht="21.75" customHeight="1" x14ac:dyDescent="0.2">
      <c r="A13" s="170" t="s">
        <v>120</v>
      </c>
      <c r="B13" s="154"/>
      <c r="C13" s="249">
        <v>972120</v>
      </c>
      <c r="D13" s="158"/>
      <c r="E13" s="253">
        <v>11730206779</v>
      </c>
      <c r="F13" s="158"/>
      <c r="G13" s="145">
        <v>-11388144580</v>
      </c>
      <c r="H13" s="158"/>
      <c r="I13" s="263">
        <f t="shared" si="0"/>
        <v>342062199</v>
      </c>
      <c r="J13" s="158"/>
      <c r="K13" s="263">
        <v>972120</v>
      </c>
      <c r="L13" s="158"/>
      <c r="M13" s="263">
        <v>11730206779</v>
      </c>
      <c r="N13" s="158"/>
      <c r="O13" s="145">
        <v>-11388144580</v>
      </c>
      <c r="P13" s="158"/>
      <c r="Q13" s="263">
        <f t="shared" si="1"/>
        <v>342062199</v>
      </c>
    </row>
    <row r="14" spans="1:20" s="150" customFormat="1" ht="21.75" customHeight="1" x14ac:dyDescent="0.2">
      <c r="A14" s="170" t="s">
        <v>69</v>
      </c>
      <c r="B14" s="154"/>
      <c r="C14" s="249">
        <v>91961793</v>
      </c>
      <c r="D14" s="158"/>
      <c r="E14" s="249">
        <v>53473044257</v>
      </c>
      <c r="F14" s="158"/>
      <c r="G14" s="145">
        <v>-47267980891</v>
      </c>
      <c r="H14" s="158"/>
      <c r="I14" s="263">
        <f t="shared" si="0"/>
        <v>6205063366</v>
      </c>
      <c r="J14" s="158"/>
      <c r="K14" s="263">
        <v>91961793</v>
      </c>
      <c r="L14" s="158"/>
      <c r="M14" s="263">
        <v>53473044257</v>
      </c>
      <c r="N14" s="158"/>
      <c r="O14" s="145">
        <v>-47267980891</v>
      </c>
      <c r="P14" s="158"/>
      <c r="Q14" s="263">
        <f t="shared" si="1"/>
        <v>6205063366</v>
      </c>
    </row>
    <row r="15" spans="1:20" s="150" customFormat="1" ht="21.75" customHeight="1" x14ac:dyDescent="0.2">
      <c r="A15" s="170" t="s">
        <v>131</v>
      </c>
      <c r="B15" s="154"/>
      <c r="C15" s="249">
        <v>12110899</v>
      </c>
      <c r="D15" s="158"/>
      <c r="E15" s="249">
        <v>349981081813</v>
      </c>
      <c r="F15" s="158"/>
      <c r="G15" s="145">
        <v>-343592677981</v>
      </c>
      <c r="H15" s="158"/>
      <c r="I15" s="263">
        <f t="shared" si="0"/>
        <v>6388403832</v>
      </c>
      <c r="J15" s="158"/>
      <c r="K15" s="263">
        <v>12110899</v>
      </c>
      <c r="L15" s="158"/>
      <c r="M15" s="263">
        <v>349981081813</v>
      </c>
      <c r="N15" s="158"/>
      <c r="O15" s="145">
        <v>-343592677981</v>
      </c>
      <c r="P15" s="158"/>
      <c r="Q15" s="263">
        <f t="shared" si="1"/>
        <v>6388403832</v>
      </c>
    </row>
    <row r="16" spans="1:20" s="150" customFormat="1" ht="21.75" customHeight="1" x14ac:dyDescent="0.2">
      <c r="A16" s="170" t="s">
        <v>62</v>
      </c>
      <c r="B16" s="154"/>
      <c r="C16" s="249">
        <v>5740259</v>
      </c>
      <c r="D16" s="158"/>
      <c r="E16" s="249">
        <v>8042312452</v>
      </c>
      <c r="F16" s="158"/>
      <c r="G16" s="145">
        <v>-8247644080</v>
      </c>
      <c r="H16" s="158"/>
      <c r="I16" s="263">
        <f t="shared" si="0"/>
        <v>-205331628</v>
      </c>
      <c r="J16" s="158"/>
      <c r="K16" s="263">
        <v>5740259</v>
      </c>
      <c r="L16" s="158"/>
      <c r="M16" s="263">
        <v>8042312452</v>
      </c>
      <c r="N16" s="158"/>
      <c r="O16" s="145">
        <v>-8247644080</v>
      </c>
      <c r="P16" s="158"/>
      <c r="Q16" s="263">
        <f t="shared" si="1"/>
        <v>-205331628</v>
      </c>
    </row>
    <row r="17" spans="1:18" s="150" customFormat="1" ht="21.75" customHeight="1" x14ac:dyDescent="0.2">
      <c r="A17" s="170" t="s">
        <v>68</v>
      </c>
      <c r="B17" s="154"/>
      <c r="C17" s="249">
        <v>3533570</v>
      </c>
      <c r="D17" s="158"/>
      <c r="E17" s="249">
        <v>4996881594</v>
      </c>
      <c r="F17" s="158"/>
      <c r="G17" s="145">
        <v>-4852657606</v>
      </c>
      <c r="H17" s="158"/>
      <c r="I17" s="263">
        <f t="shared" si="0"/>
        <v>144223988</v>
      </c>
      <c r="J17" s="158"/>
      <c r="K17" s="263">
        <v>3533570</v>
      </c>
      <c r="L17" s="158"/>
      <c r="M17" s="263">
        <v>4996881594</v>
      </c>
      <c r="N17" s="158"/>
      <c r="O17" s="145">
        <v>-4852657606</v>
      </c>
      <c r="P17" s="158"/>
      <c r="Q17" s="263">
        <f t="shared" si="1"/>
        <v>144223988</v>
      </c>
    </row>
    <row r="18" spans="1:18" s="150" customFormat="1" ht="21.75" customHeight="1" x14ac:dyDescent="0.2">
      <c r="A18" s="170" t="s">
        <v>102</v>
      </c>
      <c r="B18" s="154"/>
      <c r="C18" s="249">
        <v>43069420</v>
      </c>
      <c r="D18" s="158"/>
      <c r="E18" s="249">
        <v>750164848756</v>
      </c>
      <c r="F18" s="158"/>
      <c r="G18" s="145">
        <v>-727448337970</v>
      </c>
      <c r="H18" s="158"/>
      <c r="I18" s="263">
        <f t="shared" si="0"/>
        <v>22716510786</v>
      </c>
      <c r="J18" s="158"/>
      <c r="K18" s="263">
        <v>43069420</v>
      </c>
      <c r="L18" s="158"/>
      <c r="M18" s="263">
        <v>750164848756</v>
      </c>
      <c r="N18" s="158"/>
      <c r="O18" s="145">
        <v>-727448337970</v>
      </c>
      <c r="P18" s="158"/>
      <c r="Q18" s="263">
        <f t="shared" si="1"/>
        <v>22716510786</v>
      </c>
    </row>
    <row r="19" spans="1:18" s="150" customFormat="1" ht="26.25" customHeight="1" thickBot="1" x14ac:dyDescent="0.25">
      <c r="A19" s="200"/>
      <c r="B19" s="153"/>
      <c r="C19" s="206"/>
      <c r="D19" s="205"/>
      <c r="E19" s="207">
        <f>SUM(E10:E18)</f>
        <v>1339982132902</v>
      </c>
      <c r="F19" s="205"/>
      <c r="G19" s="207">
        <f>SUM(G10:G18)</f>
        <v>-1304382559923</v>
      </c>
      <c r="H19" s="205"/>
      <c r="I19" s="207">
        <f>SUM(I10:I18)</f>
        <v>35599572979</v>
      </c>
      <c r="J19" s="205"/>
      <c r="K19" s="206"/>
      <c r="L19" s="205"/>
      <c r="M19" s="207">
        <f>SUM(M10:M18)</f>
        <v>1339982132902</v>
      </c>
      <c r="N19" s="205"/>
      <c r="O19" s="207">
        <f>SUM(O10:O18)</f>
        <v>-1304382559923</v>
      </c>
      <c r="P19" s="205"/>
      <c r="Q19" s="207">
        <f>SUM(Q10:Q18)</f>
        <v>35599572979</v>
      </c>
    </row>
    <row r="20" spans="1:18" ht="6" customHeight="1" thickTop="1" x14ac:dyDescent="0.45">
      <c r="C20" s="49"/>
      <c r="D20" s="3"/>
      <c r="E20" s="49"/>
      <c r="G20" s="49"/>
      <c r="I20" s="49"/>
      <c r="J20" s="3"/>
      <c r="K20" s="49"/>
      <c r="L20" s="3"/>
      <c r="M20" s="49"/>
      <c r="N20" s="3"/>
      <c r="O20" s="49"/>
      <c r="P20" s="3"/>
      <c r="Q20" s="49"/>
    </row>
    <row r="21" spans="1:18" ht="18.75" x14ac:dyDescent="0.45">
      <c r="A21" s="157"/>
      <c r="P21" s="3"/>
    </row>
    <row r="22" spans="1:18" ht="18.75" x14ac:dyDescent="0.45">
      <c r="A22" s="377" t="s">
        <v>31</v>
      </c>
      <c r="B22" s="379"/>
      <c r="C22" s="379"/>
      <c r="D22" s="379"/>
      <c r="E22" s="379"/>
      <c r="F22" s="379"/>
      <c r="G22" s="379"/>
      <c r="H22" s="379"/>
      <c r="I22" s="379"/>
      <c r="J22" s="379"/>
      <c r="K22" s="379"/>
      <c r="L22" s="379"/>
      <c r="M22" s="379"/>
      <c r="N22" s="379"/>
      <c r="O22" s="379"/>
      <c r="P22" s="379"/>
      <c r="Q22" s="380"/>
    </row>
    <row r="23" spans="1:18" ht="18.75" hidden="1" x14ac:dyDescent="0.45">
      <c r="I23" s="171">
        <f>'درآمد سرمایه گذاری در سهام '!G17+'درآمد سرمایه گذاری در صندوق'!G16</f>
        <v>35599572979</v>
      </c>
      <c r="Q23" s="55">
        <f>'درآمد سرمایه گذاری در سهام '!Q17+'درآمد سرمایه گذاری در صندوق'!Q16</f>
        <v>35599572979</v>
      </c>
    </row>
    <row r="24" spans="1:18" ht="18.75" hidden="1" x14ac:dyDescent="0.45">
      <c r="I24" s="171">
        <f>I19-I23</f>
        <v>0</v>
      </c>
      <c r="Q24" s="99">
        <f>Q19-Q23</f>
        <v>0</v>
      </c>
    </row>
    <row r="25" spans="1:18" hidden="1" x14ac:dyDescent="0.45">
      <c r="G25" s="191"/>
      <c r="I25" s="99"/>
      <c r="Q25" s="99"/>
    </row>
    <row r="26" spans="1:18" hidden="1" x14ac:dyDescent="0.45">
      <c r="I26" s="55"/>
      <c r="Q26" s="55"/>
    </row>
    <row r="27" spans="1:18" x14ac:dyDescent="0.45">
      <c r="I27" s="55">
        <f>'درآمد سرمایه گذاری در سهام '!G17+'درآمد سرمایه گذاری در صندوق'!G16</f>
        <v>35599572979</v>
      </c>
      <c r="Q27" s="55">
        <f>'درآمد سرمایه گذاری در سهام '!G17+'درآمد سرمایه گذاری در صندوق'!Q16</f>
        <v>35599572979</v>
      </c>
    </row>
    <row r="28" spans="1:18" x14ac:dyDescent="0.45">
      <c r="G28" s="191"/>
      <c r="I28" s="99">
        <f>I19-I27</f>
        <v>0</v>
      </c>
      <c r="O28" s="191"/>
      <c r="Q28" s="55">
        <f>Q19-Q27</f>
        <v>0</v>
      </c>
    </row>
    <row r="29" spans="1:18" ht="18.75" x14ac:dyDescent="0.45">
      <c r="I29" s="204"/>
      <c r="J29" s="204"/>
      <c r="K29" s="204"/>
      <c r="L29" s="204"/>
      <c r="M29" s="204"/>
      <c r="N29" s="204"/>
      <c r="O29" s="204"/>
      <c r="P29" s="204"/>
      <c r="Q29" s="204"/>
      <c r="R29" s="204"/>
    </row>
    <row r="30" spans="1:18" ht="18.75" x14ac:dyDescent="0.45">
      <c r="I30" s="204"/>
      <c r="J30" s="204"/>
      <c r="K30" s="204"/>
      <c r="L30" s="204"/>
      <c r="M30" s="204"/>
      <c r="N30" s="204"/>
      <c r="O30" s="204"/>
      <c r="P30" s="204"/>
      <c r="Q30" s="204"/>
      <c r="R30" s="204"/>
    </row>
    <row r="31" spans="1:18" ht="18.75" x14ac:dyDescent="0.45">
      <c r="I31" s="204"/>
      <c r="J31" s="204"/>
      <c r="K31" s="204"/>
      <c r="L31" s="204"/>
      <c r="M31" s="204"/>
      <c r="N31" s="204"/>
      <c r="O31" s="204"/>
      <c r="P31" s="204"/>
      <c r="Q31" s="204"/>
      <c r="R31" s="204"/>
    </row>
    <row r="32" spans="1:18" x14ac:dyDescent="0.45">
      <c r="I32" s="99"/>
    </row>
  </sheetData>
  <mergeCells count="7">
    <mergeCell ref="A22:Q22"/>
    <mergeCell ref="A1:Q1"/>
    <mergeCell ref="A2:Q2"/>
    <mergeCell ref="A3:Q3"/>
    <mergeCell ref="A5:Q5"/>
    <mergeCell ref="C7:I7"/>
    <mergeCell ref="K7:Q7"/>
  </mergeCells>
  <printOptions horizontalCentered="1"/>
  <pageMargins left="0.51181102362204722" right="0.51181102362204722" top="0.74803149606299213" bottom="0.55118110236220474" header="0.31496062992125984" footer="0.31496062992125984"/>
  <pageSetup paperSize="9" scale="72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29"/>
  <sheetViews>
    <sheetView rightToLeft="1" view="pageBreakPreview" topLeftCell="A7" zoomScale="90" zoomScaleNormal="100" zoomScaleSheetLayoutView="90" workbookViewId="0">
      <selection activeCell="E20" sqref="E20"/>
    </sheetView>
  </sheetViews>
  <sheetFormatPr defaultColWidth="9" defaultRowHeight="18" x14ac:dyDescent="0.45"/>
  <cols>
    <col min="1" max="1" width="28.25" style="61" bestFit="1" customWidth="1"/>
    <col min="2" max="2" width="1.375" style="61" customWidth="1"/>
    <col min="3" max="3" width="12.375" style="61" customWidth="1"/>
    <col min="4" max="4" width="1.375" style="61" customWidth="1"/>
    <col min="5" max="5" width="18.25" style="61" bestFit="1" customWidth="1"/>
    <col min="6" max="6" width="1.375" style="61" customWidth="1"/>
    <col min="7" max="7" width="19.75" style="61" customWidth="1"/>
    <col min="8" max="8" width="1.375" style="61" customWidth="1"/>
    <col min="9" max="9" width="19.375" style="61" customWidth="1"/>
    <col min="10" max="10" width="1.375" style="61" customWidth="1"/>
    <col min="11" max="11" width="14.25" style="61" customWidth="1"/>
    <col min="12" max="12" width="1.375" style="61" customWidth="1"/>
    <col min="13" max="13" width="17.625" style="61" customWidth="1"/>
    <col min="14" max="14" width="1.375" style="61" customWidth="1"/>
    <col min="15" max="15" width="20" style="61" customWidth="1"/>
    <col min="16" max="16" width="1.375" style="61" customWidth="1"/>
    <col min="17" max="17" width="27" style="61" customWidth="1"/>
    <col min="18" max="18" width="1.125" style="61" customWidth="1"/>
    <col min="19" max="19" width="28.375" style="61" customWidth="1"/>
    <col min="20" max="20" width="15.625" style="61" bestFit="1" customWidth="1"/>
    <col min="21" max="16384" width="9" style="61"/>
  </cols>
  <sheetData>
    <row r="1" spans="1:20" ht="28.5" customHeight="1" x14ac:dyDescent="0.45">
      <c r="A1" s="391" t="str">
        <f>تیتر!B7</f>
        <v>صندوق سرمایه گذاری املاک و مستغلات خانه آگاه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</row>
    <row r="2" spans="1:20" ht="28.5" customHeight="1" x14ac:dyDescent="0.45">
      <c r="A2" s="391" t="str">
        <f>تیتر!B8</f>
        <v xml:space="preserve">صورت وضعیت درآمدها 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</row>
    <row r="3" spans="1:20" ht="28.5" customHeight="1" x14ac:dyDescent="0.45">
      <c r="A3" s="391" t="str">
        <f>تیتر!B9</f>
        <v>برای ماه منتهی به 1405/04/31</v>
      </c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</row>
    <row r="4" spans="1:20" ht="45.75" customHeight="1" x14ac:dyDescent="0.45"/>
    <row r="5" spans="1:20" ht="27.75" customHeight="1" x14ac:dyDescent="0.55000000000000004">
      <c r="A5" s="393" t="s">
        <v>83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</row>
    <row r="6" spans="1:20" ht="34.5" customHeight="1" x14ac:dyDescent="0.45"/>
    <row r="7" spans="1:20" ht="21" x14ac:dyDescent="0.45">
      <c r="C7" s="395" t="str">
        <f>تیتر!A11</f>
        <v>طی تیر ماه</v>
      </c>
      <c r="D7" s="396"/>
      <c r="E7" s="396"/>
      <c r="F7" s="396"/>
      <c r="G7" s="396"/>
      <c r="H7" s="396"/>
      <c r="I7" s="396"/>
      <c r="K7" s="395" t="str">
        <f>تیتر!B11</f>
        <v>از ابتدای سال مالی تا پایان تیر ماه 1405</v>
      </c>
      <c r="L7" s="396"/>
      <c r="M7" s="396"/>
      <c r="N7" s="396"/>
      <c r="O7" s="396"/>
      <c r="P7" s="396"/>
      <c r="Q7" s="396"/>
    </row>
    <row r="8" spans="1:20" ht="48" customHeight="1" x14ac:dyDescent="0.45">
      <c r="A8" s="62" t="s">
        <v>17</v>
      </c>
      <c r="C8" s="63" t="s">
        <v>2</v>
      </c>
      <c r="E8" s="63" t="s">
        <v>4</v>
      </c>
      <c r="G8" s="63" t="s">
        <v>30</v>
      </c>
      <c r="I8" s="63" t="s">
        <v>53</v>
      </c>
      <c r="K8" s="63" t="s">
        <v>2</v>
      </c>
      <c r="M8" s="63" t="s">
        <v>4</v>
      </c>
      <c r="O8" s="63" t="s">
        <v>30</v>
      </c>
      <c r="Q8" s="63" t="s">
        <v>53</v>
      </c>
      <c r="T8" s="61">
        <v>-1</v>
      </c>
    </row>
    <row r="9" spans="1:20" ht="18" customHeight="1" x14ac:dyDescent="0.45">
      <c r="A9" s="212"/>
      <c r="C9" s="64"/>
      <c r="E9" s="64" t="s">
        <v>47</v>
      </c>
      <c r="G9" s="212" t="s">
        <v>47</v>
      </c>
      <c r="I9" s="64" t="s">
        <v>47</v>
      </c>
      <c r="K9" s="64"/>
      <c r="M9" s="64" t="s">
        <v>47</v>
      </c>
      <c r="O9" s="64" t="s">
        <v>47</v>
      </c>
      <c r="Q9" s="212" t="s">
        <v>47</v>
      </c>
    </row>
    <row r="10" spans="1:20" ht="33.75" customHeight="1" x14ac:dyDescent="0.45">
      <c r="A10" s="200" t="s">
        <v>62</v>
      </c>
      <c r="B10" s="235"/>
      <c r="C10" s="262">
        <v>802740</v>
      </c>
      <c r="D10" s="199"/>
      <c r="E10" s="169">
        <v>1128689839</v>
      </c>
      <c r="F10" s="169"/>
      <c r="G10" s="169">
        <v>-1153382422</v>
      </c>
      <c r="H10" s="169"/>
      <c r="I10" s="169">
        <f t="shared" ref="I10:I19" si="0">G10+E10</f>
        <v>-24692583</v>
      </c>
      <c r="J10" s="169"/>
      <c r="K10" s="169">
        <v>802740</v>
      </c>
      <c r="L10" s="169"/>
      <c r="M10" s="169">
        <v>1128689839</v>
      </c>
      <c r="N10" s="169"/>
      <c r="O10" s="169">
        <v>-1153382422</v>
      </c>
      <c r="P10" s="169"/>
      <c r="Q10" s="169">
        <f t="shared" ref="Q10:Q19" si="1">O10+M10</f>
        <v>-24692583</v>
      </c>
      <c r="S10" s="122" t="e">
        <f>VLOOKUP(A10,صندوق!A11:Q15,17,0)-K10</f>
        <v>#N/A</v>
      </c>
      <c r="T10" s="307"/>
    </row>
    <row r="11" spans="1:20" ht="33.75" customHeight="1" x14ac:dyDescent="0.45">
      <c r="A11" s="200" t="s">
        <v>114</v>
      </c>
      <c r="B11" s="235"/>
      <c r="C11" s="262">
        <v>363161</v>
      </c>
      <c r="D11" s="199"/>
      <c r="E11" s="169">
        <v>18549231903</v>
      </c>
      <c r="F11" s="169"/>
      <c r="G11" s="169">
        <v>-18001424033</v>
      </c>
      <c r="H11" s="169"/>
      <c r="I11" s="169">
        <f>G11+E11</f>
        <v>547807870</v>
      </c>
      <c r="J11" s="169"/>
      <c r="K11" s="169">
        <v>363161</v>
      </c>
      <c r="L11" s="169"/>
      <c r="M11" s="169">
        <v>18549231903</v>
      </c>
      <c r="N11" s="169"/>
      <c r="O11" s="169">
        <v>-18001424033</v>
      </c>
      <c r="P11" s="169"/>
      <c r="Q11" s="169">
        <f t="shared" si="1"/>
        <v>547807870</v>
      </c>
      <c r="S11" s="122">
        <f>VLOOKUP(A11,صندوق!A12:Q16,17,0)-K11</f>
        <v>0</v>
      </c>
    </row>
    <row r="12" spans="1:20" ht="33.75" customHeight="1" x14ac:dyDescent="0.45">
      <c r="A12" s="200" t="s">
        <v>102</v>
      </c>
      <c r="B12" s="235"/>
      <c r="C12" s="262">
        <v>12595074</v>
      </c>
      <c r="D12" s="199"/>
      <c r="E12" s="169">
        <v>219665224646</v>
      </c>
      <c r="F12" s="169"/>
      <c r="G12" s="169">
        <v>-215995134685</v>
      </c>
      <c r="H12" s="169"/>
      <c r="I12" s="169">
        <f t="shared" si="0"/>
        <v>3670089961</v>
      </c>
      <c r="J12" s="169"/>
      <c r="K12" s="169">
        <v>12595074</v>
      </c>
      <c r="L12" s="169"/>
      <c r="M12" s="169">
        <v>219665224646</v>
      </c>
      <c r="N12" s="169"/>
      <c r="O12" s="169">
        <v>-215995134685</v>
      </c>
      <c r="P12" s="169"/>
      <c r="Q12" s="169">
        <f t="shared" si="1"/>
        <v>3670089961</v>
      </c>
      <c r="S12" s="122">
        <f>صندوق!Q11-K12</f>
        <v>-12595074</v>
      </c>
      <c r="T12" s="307"/>
    </row>
    <row r="13" spans="1:20" ht="33.75" customHeight="1" x14ac:dyDescent="0.45">
      <c r="A13" s="200" t="s">
        <v>69</v>
      </c>
      <c r="B13" s="235"/>
      <c r="C13" s="261">
        <v>21000000</v>
      </c>
      <c r="D13" s="199"/>
      <c r="E13" s="169">
        <v>12210874620</v>
      </c>
      <c r="F13" s="169"/>
      <c r="G13" s="169">
        <v>-10793913049</v>
      </c>
      <c r="H13" s="169"/>
      <c r="I13" s="169">
        <f t="shared" si="0"/>
        <v>1416961571</v>
      </c>
      <c r="J13" s="169"/>
      <c r="K13" s="169">
        <v>21000000</v>
      </c>
      <c r="L13" s="169"/>
      <c r="M13" s="169">
        <v>12210874620</v>
      </c>
      <c r="N13" s="169"/>
      <c r="O13" s="169">
        <v>-10793913049</v>
      </c>
      <c r="P13" s="169"/>
      <c r="Q13" s="169">
        <f t="shared" si="1"/>
        <v>1416961571</v>
      </c>
      <c r="S13" s="122" t="e">
        <f>VLOOKUP(A13,صندوق!A14:Q18,17,0)-K13</f>
        <v>#N/A</v>
      </c>
      <c r="T13" s="307"/>
    </row>
    <row r="14" spans="1:20" s="306" customFormat="1" ht="33.75" customHeight="1" x14ac:dyDescent="0.45">
      <c r="A14" s="200" t="s">
        <v>68</v>
      </c>
      <c r="B14" s="235"/>
      <c r="C14" s="261">
        <v>3874434</v>
      </c>
      <c r="D14" s="199"/>
      <c r="E14" s="169">
        <v>5562969252</v>
      </c>
      <c r="F14" s="169"/>
      <c r="G14" s="169">
        <v>-5320766732</v>
      </c>
      <c r="H14" s="169"/>
      <c r="I14" s="169">
        <f t="shared" si="0"/>
        <v>242202520</v>
      </c>
      <c r="J14" s="169"/>
      <c r="K14" s="169">
        <v>3874434</v>
      </c>
      <c r="L14" s="169"/>
      <c r="M14" s="169">
        <v>5562969252</v>
      </c>
      <c r="N14" s="169"/>
      <c r="O14" s="169">
        <v>-5320766732</v>
      </c>
      <c r="P14" s="169"/>
      <c r="Q14" s="169">
        <f t="shared" si="1"/>
        <v>242202520</v>
      </c>
      <c r="T14" s="307"/>
    </row>
    <row r="15" spans="1:20" s="306" customFormat="1" ht="33.75" customHeight="1" x14ac:dyDescent="0.45">
      <c r="A15" s="200" t="s">
        <v>131</v>
      </c>
      <c r="B15" s="235"/>
      <c r="C15" s="261">
        <v>221926</v>
      </c>
      <c r="D15" s="199"/>
      <c r="E15" s="169">
        <v>6495597144</v>
      </c>
      <c r="F15" s="169"/>
      <c r="G15" s="169">
        <v>-6296159241</v>
      </c>
      <c r="H15" s="169"/>
      <c r="I15" s="169">
        <f t="shared" si="0"/>
        <v>199437903</v>
      </c>
      <c r="J15" s="169"/>
      <c r="K15" s="169">
        <v>221926</v>
      </c>
      <c r="L15" s="169"/>
      <c r="M15" s="169">
        <v>6495597144</v>
      </c>
      <c r="N15" s="169"/>
      <c r="O15" s="169">
        <v>-6296159241</v>
      </c>
      <c r="P15" s="169"/>
      <c r="Q15" s="169">
        <f t="shared" si="1"/>
        <v>199437903</v>
      </c>
      <c r="T15" s="307"/>
    </row>
    <row r="16" spans="1:20" ht="33.75" customHeight="1" x14ac:dyDescent="0.45">
      <c r="A16" s="200" t="s">
        <v>74</v>
      </c>
      <c r="B16" s="235"/>
      <c r="C16" s="261">
        <v>8044125</v>
      </c>
      <c r="D16" s="199"/>
      <c r="E16" s="169">
        <v>98976104530</v>
      </c>
      <c r="F16" s="169"/>
      <c r="G16" s="169">
        <v>-102887257048</v>
      </c>
      <c r="H16" s="169"/>
      <c r="I16" s="169">
        <f>G16+E16</f>
        <v>-3911152518</v>
      </c>
      <c r="J16" s="169"/>
      <c r="K16" s="169">
        <v>8044125</v>
      </c>
      <c r="L16" s="169"/>
      <c r="M16" s="169">
        <v>98976104530</v>
      </c>
      <c r="N16" s="169"/>
      <c r="O16" s="169">
        <v>-102887257048</v>
      </c>
      <c r="P16" s="169"/>
      <c r="Q16" s="169">
        <f t="shared" si="1"/>
        <v>-3911152518</v>
      </c>
      <c r="S16" s="236">
        <f>VLOOKUP(A16,'سرمایه گذاری در سهام (2)'!A12:Q18,17,0)-K16</f>
        <v>0</v>
      </c>
      <c r="T16" s="307"/>
    </row>
    <row r="17" spans="1:20" ht="33.75" customHeight="1" x14ac:dyDescent="0.45">
      <c r="A17" s="200" t="s">
        <v>107</v>
      </c>
      <c r="B17" s="235"/>
      <c r="C17" s="261">
        <v>3701443</v>
      </c>
      <c r="D17" s="199"/>
      <c r="E17" s="169">
        <v>56451410097</v>
      </c>
      <c r="F17" s="169"/>
      <c r="G17" s="169">
        <v>-73530073489</v>
      </c>
      <c r="H17" s="169"/>
      <c r="I17" s="169">
        <f t="shared" si="0"/>
        <v>-17078663392</v>
      </c>
      <c r="J17" s="169"/>
      <c r="K17" s="169">
        <v>3701443</v>
      </c>
      <c r="L17" s="169"/>
      <c r="M17" s="169">
        <v>56451410097</v>
      </c>
      <c r="N17" s="169"/>
      <c r="O17" s="169">
        <v>-73530073489</v>
      </c>
      <c r="P17" s="169"/>
      <c r="Q17" s="169">
        <f t="shared" si="1"/>
        <v>-17078663392</v>
      </c>
      <c r="S17" s="236">
        <f>VLOOKUP(A17,'سرمایه گذاری در سهام (2)'!A13:Q19,17,0)-K17</f>
        <v>0</v>
      </c>
      <c r="T17" s="307"/>
    </row>
    <row r="18" spans="1:20" ht="33.75" customHeight="1" x14ac:dyDescent="0.45">
      <c r="A18" s="200" t="s">
        <v>156</v>
      </c>
      <c r="B18" s="235"/>
      <c r="C18" s="262">
        <v>7082621</v>
      </c>
      <c r="D18" s="199"/>
      <c r="E18" s="169">
        <v>749730503067</v>
      </c>
      <c r="F18" s="169"/>
      <c r="G18" s="169">
        <v>-750276548012</v>
      </c>
      <c r="H18" s="169"/>
      <c r="I18" s="169">
        <f t="shared" si="0"/>
        <v>-546044945</v>
      </c>
      <c r="J18" s="169"/>
      <c r="K18" s="169">
        <v>7082621</v>
      </c>
      <c r="L18" s="169"/>
      <c r="M18" s="169">
        <v>749730503067</v>
      </c>
      <c r="N18" s="169"/>
      <c r="O18" s="169">
        <v>-750276548012</v>
      </c>
      <c r="P18" s="169"/>
      <c r="Q18" s="169">
        <f t="shared" si="1"/>
        <v>-546044945</v>
      </c>
      <c r="S18" s="236">
        <f>55790022-K18</f>
        <v>48707401</v>
      </c>
      <c r="T18" s="307"/>
    </row>
    <row r="19" spans="1:20" ht="33.75" customHeight="1" x14ac:dyDescent="0.45">
      <c r="A19" s="200" t="s">
        <v>117</v>
      </c>
      <c r="B19" s="235"/>
      <c r="C19" s="261">
        <v>1426867</v>
      </c>
      <c r="D19" s="199"/>
      <c r="E19" s="169">
        <v>4468382575</v>
      </c>
      <c r="F19" s="169"/>
      <c r="G19" s="169">
        <v>-4110175734</v>
      </c>
      <c r="H19" s="169"/>
      <c r="I19" s="169">
        <f t="shared" si="0"/>
        <v>358206841</v>
      </c>
      <c r="J19" s="169"/>
      <c r="K19" s="169">
        <v>1426867</v>
      </c>
      <c r="L19" s="169"/>
      <c r="M19" s="169">
        <v>4468382575</v>
      </c>
      <c r="N19" s="169"/>
      <c r="O19" s="169">
        <v>-4110175734</v>
      </c>
      <c r="P19" s="169"/>
      <c r="Q19" s="169">
        <f t="shared" si="1"/>
        <v>358206841</v>
      </c>
      <c r="S19" s="236">
        <f>VLOOKUP(A19,'سرمایه گذاری در سهام (2)'!A15:Q21,17,0)-K19</f>
        <v>0</v>
      </c>
    </row>
    <row r="20" spans="1:20" ht="29.25" customHeight="1" thickBot="1" x14ac:dyDescent="0.5">
      <c r="A20" s="7"/>
      <c r="B20" s="45"/>
      <c r="C20" s="185"/>
      <c r="D20" s="99"/>
      <c r="E20" s="97">
        <f>SUM(E10:E19)</f>
        <v>1173238987673</v>
      </c>
      <c r="F20" s="99"/>
      <c r="G20" s="100">
        <f>SUM(G10:G19)</f>
        <v>-1188364834445</v>
      </c>
      <c r="H20" s="99"/>
      <c r="I20" s="97">
        <f>SUM(I10:I19)</f>
        <v>-15125846772</v>
      </c>
      <c r="J20" s="99"/>
      <c r="K20" s="185"/>
      <c r="L20" s="99"/>
      <c r="M20" s="97">
        <f>SUM(M10:M19)</f>
        <v>1173238987673</v>
      </c>
      <c r="N20" s="99"/>
      <c r="O20" s="97">
        <f>SUM(O10:O19)</f>
        <v>-1188364834445</v>
      </c>
      <c r="P20" s="99"/>
      <c r="Q20" s="97">
        <f>SUM(Q10:Q19)</f>
        <v>-15125846772</v>
      </c>
      <c r="S20" s="169"/>
    </row>
    <row r="21" spans="1:20" ht="6" customHeight="1" thickTop="1" x14ac:dyDescent="0.45">
      <c r="A21" s="45"/>
      <c r="B21" s="45"/>
      <c r="C21" s="49"/>
      <c r="D21" s="45"/>
      <c r="E21" s="49"/>
      <c r="F21" s="45"/>
      <c r="G21" s="49"/>
      <c r="H21" s="45"/>
      <c r="I21" s="49"/>
      <c r="J21" s="45"/>
      <c r="K21" s="49"/>
      <c r="L21" s="45"/>
      <c r="M21" s="49"/>
      <c r="N21" s="45"/>
      <c r="O21" s="49"/>
      <c r="P21" s="45"/>
      <c r="Q21" s="49"/>
    </row>
    <row r="22" spans="1:20" ht="22.5" hidden="1" customHeight="1" x14ac:dyDescent="0.45">
      <c r="A22" s="45"/>
      <c r="B22" s="45"/>
      <c r="C22" s="45"/>
      <c r="D22" s="45"/>
      <c r="E22" s="45"/>
      <c r="F22" s="45"/>
      <c r="G22" s="99"/>
      <c r="H22" s="45"/>
      <c r="I22" s="169">
        <f>'درآمد سرمایه گذاری در سهام '!E17+'درآمد سرمایه گذاری در صندوق'!E16</f>
        <v>-15125846769</v>
      </c>
      <c r="J22" s="45"/>
      <c r="K22" s="45"/>
      <c r="L22" s="45"/>
      <c r="M22" s="45"/>
      <c r="N22" s="45"/>
      <c r="O22" s="45"/>
      <c r="P22" s="45"/>
      <c r="Q22" s="98">
        <f>'درآمد سرمایه گذاری در سهام '!O17+'درآمد سرمایه گذاری در صندوق'!O16</f>
        <v>-15125846769</v>
      </c>
    </row>
    <row r="23" spans="1:20" ht="22.5" hidden="1" customHeight="1" x14ac:dyDescent="0.45">
      <c r="I23" s="175">
        <f>I20-I22</f>
        <v>-3</v>
      </c>
      <c r="Q23" s="122">
        <f>Q20-Q22</f>
        <v>-3</v>
      </c>
    </row>
    <row r="24" spans="1:20" ht="22.5" customHeight="1" x14ac:dyDescent="0.45">
      <c r="G24" s="175"/>
      <c r="I24" s="236">
        <f>'درآمد سرمایه گذاری در سهام '!E17+'درآمد سرمایه گذاری در صندوق'!E16</f>
        <v>-15125846769</v>
      </c>
      <c r="Q24" s="122">
        <f>'درآمد سرمایه گذاری در سهام '!O17+'درآمد سرمایه گذاری در صندوق'!O16</f>
        <v>-15125846769</v>
      </c>
    </row>
    <row r="25" spans="1:20" ht="22.5" customHeight="1" x14ac:dyDescent="0.45">
      <c r="I25" s="122">
        <f>I20-I24</f>
        <v>-3</v>
      </c>
      <c r="Q25" s="175">
        <f>Q20-Q24</f>
        <v>-3</v>
      </c>
    </row>
    <row r="26" spans="1:20" x14ac:dyDescent="0.45">
      <c r="I26" s="122"/>
      <c r="Q26" s="122"/>
    </row>
    <row r="27" spans="1:20" x14ac:dyDescent="0.45">
      <c r="I27" s="175"/>
      <c r="Q27" s="175"/>
    </row>
    <row r="29" spans="1:20" x14ac:dyDescent="0.45">
      <c r="M29" s="175"/>
    </row>
  </sheetData>
  <mergeCells count="6">
    <mergeCell ref="A1:Q1"/>
    <mergeCell ref="A2:Q2"/>
    <mergeCell ref="A3:Q3"/>
    <mergeCell ref="A5:Q5"/>
    <mergeCell ref="C7:I7"/>
    <mergeCell ref="K7:Q7"/>
  </mergeCells>
  <printOptions horizontalCentered="1"/>
  <pageMargins left="0.39370078740157483" right="0.39370078740157483" top="0.47244094488188981" bottom="0.39370078740157483" header="0.31496062992125984" footer="0.31496062992125984"/>
  <pageSetup paperSize="9" scale="63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16"/>
  <sheetViews>
    <sheetView rightToLeft="1" tabSelected="1" view="pageBreakPreview" zoomScaleNormal="100" zoomScaleSheetLayoutView="100" workbookViewId="0">
      <selection activeCell="G15" sqref="G15"/>
    </sheetView>
  </sheetViews>
  <sheetFormatPr defaultColWidth="9.125" defaultRowHeight="18" x14ac:dyDescent="0.45"/>
  <cols>
    <col min="1" max="1" width="14.875" style="66" customWidth="1"/>
    <col min="2" max="2" width="1.375" style="66" customWidth="1"/>
    <col min="3" max="3" width="20.75" style="66" customWidth="1"/>
    <col min="4" max="4" width="1.375" style="66" customWidth="1"/>
    <col min="5" max="5" width="13.875" style="66" customWidth="1"/>
    <col min="6" max="6" width="1.375" style="66" customWidth="1"/>
    <col min="7" max="7" width="17.625" style="66" customWidth="1"/>
    <col min="8" max="8" width="1.375" style="66" customWidth="1"/>
    <col min="9" max="9" width="18.375" style="66" customWidth="1"/>
    <col min="10" max="10" width="1.125" style="66" customWidth="1"/>
    <col min="11" max="11" width="13.75" style="66" customWidth="1"/>
    <col min="12" max="12" width="1.25" style="66" customWidth="1"/>
    <col min="13" max="13" width="17.75" style="66" customWidth="1"/>
    <col min="14" max="21" width="9.125" style="66"/>
    <col min="22" max="22" width="10.625" style="66" bestFit="1" customWidth="1"/>
    <col min="23" max="23" width="9.125" style="66"/>
    <col min="24" max="24" width="9.25" style="66" bestFit="1" customWidth="1"/>
    <col min="25" max="25" width="9.125" style="66"/>
    <col min="26" max="26" width="10.625" style="66" bestFit="1" customWidth="1"/>
    <col min="27" max="16384" width="9.125" style="66"/>
  </cols>
  <sheetData>
    <row r="1" spans="1:13" ht="26.25" customHeight="1" x14ac:dyDescent="0.45">
      <c r="A1" s="398" t="str">
        <f>تیتر!B7</f>
        <v>صندوق سرمایه گذاری املاک و مستغلات خانه آگاه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</row>
    <row r="2" spans="1:13" ht="26.25" customHeight="1" x14ac:dyDescent="0.45">
      <c r="A2" s="398" t="str">
        <f>تیتر!B8</f>
        <v xml:space="preserve">صورت وضعیت درآمدها 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</row>
    <row r="3" spans="1:13" ht="26.25" customHeight="1" x14ac:dyDescent="0.45">
      <c r="A3" s="398" t="str">
        <f>تیتر!B9</f>
        <v>برای ماه منتهی به 1405/04/31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33.75" customHeight="1" x14ac:dyDescent="0.45"/>
    <row r="5" spans="1:13" s="67" customFormat="1" ht="27" customHeight="1" x14ac:dyDescent="0.45">
      <c r="A5" s="399" t="s">
        <v>88</v>
      </c>
      <c r="B5" s="400"/>
      <c r="C5" s="400"/>
      <c r="D5" s="400"/>
      <c r="E5" s="400"/>
      <c r="F5" s="400"/>
      <c r="G5" s="400"/>
      <c r="H5" s="400"/>
      <c r="I5" s="400"/>
      <c r="J5" s="400"/>
      <c r="K5" s="400"/>
      <c r="L5" s="400"/>
    </row>
    <row r="6" spans="1:13" x14ac:dyDescent="0.45">
      <c r="C6" s="401"/>
      <c r="D6" s="401"/>
      <c r="E6" s="401"/>
      <c r="F6" s="401"/>
      <c r="G6" s="401"/>
    </row>
    <row r="7" spans="1:13" ht="24.75" customHeight="1" thickBot="1" x14ac:dyDescent="0.5">
      <c r="A7" s="68"/>
      <c r="B7" s="67"/>
      <c r="C7" s="397" t="str">
        <f>تیتر!A11</f>
        <v>طی تیر ماه</v>
      </c>
      <c r="D7" s="397"/>
      <c r="E7" s="397"/>
      <c r="F7" s="397"/>
      <c r="G7" s="397"/>
      <c r="I7" s="397" t="str">
        <f>تیتر!B11</f>
        <v>از ابتدای سال مالی تا پایان تیر ماه 1405</v>
      </c>
      <c r="J7" s="397"/>
      <c r="K7" s="397"/>
      <c r="L7" s="397"/>
      <c r="M7" s="397"/>
    </row>
    <row r="8" spans="1:13" ht="30.75" customHeight="1" thickBot="1" x14ac:dyDescent="0.5">
      <c r="A8" s="69" t="s">
        <v>35</v>
      </c>
      <c r="B8" s="67"/>
      <c r="C8" s="72" t="s">
        <v>55</v>
      </c>
      <c r="D8" s="71"/>
      <c r="E8" s="72" t="s">
        <v>28</v>
      </c>
      <c r="F8" s="71"/>
      <c r="G8" s="70" t="s">
        <v>56</v>
      </c>
      <c r="I8" s="70" t="s">
        <v>55</v>
      </c>
      <c r="J8" s="71"/>
      <c r="K8" s="70" t="s">
        <v>28</v>
      </c>
      <c r="L8" s="71"/>
      <c r="M8" s="70" t="s">
        <v>56</v>
      </c>
    </row>
    <row r="9" spans="1:13" ht="22.5" customHeight="1" x14ac:dyDescent="0.45">
      <c r="A9" s="4"/>
      <c r="C9" s="3" t="s">
        <v>47</v>
      </c>
      <c r="D9" s="73"/>
      <c r="E9" s="3" t="s">
        <v>47</v>
      </c>
      <c r="F9" s="3"/>
      <c r="G9" s="3" t="s">
        <v>47</v>
      </c>
      <c r="H9" s="3"/>
      <c r="I9" s="3" t="s">
        <v>47</v>
      </c>
      <c r="J9" s="3"/>
      <c r="K9" s="3" t="s">
        <v>47</v>
      </c>
      <c r="L9" s="3"/>
      <c r="M9" s="3" t="s">
        <v>47</v>
      </c>
    </row>
    <row r="10" spans="1:13" ht="32.25" customHeight="1" x14ac:dyDescent="0.45">
      <c r="A10" s="264" t="s">
        <v>135</v>
      </c>
      <c r="C10" s="98">
        <v>4351464001</v>
      </c>
      <c r="D10" s="173"/>
      <c r="E10" s="98">
        <v>0</v>
      </c>
      <c r="F10" s="98"/>
      <c r="G10" s="98">
        <f>C10+E10</f>
        <v>4351464001</v>
      </c>
      <c r="H10" s="98"/>
      <c r="I10" s="98">
        <v>4351464001</v>
      </c>
      <c r="J10" s="98"/>
      <c r="K10" s="98">
        <v>0</v>
      </c>
      <c r="L10" s="98"/>
      <c r="M10" s="98">
        <f t="shared" ref="M10:M12" si="0">I10+K10</f>
        <v>4351464001</v>
      </c>
    </row>
    <row r="11" spans="1:13" ht="32.25" customHeight="1" x14ac:dyDescent="0.45">
      <c r="A11" s="101" t="s">
        <v>132</v>
      </c>
      <c r="C11" s="98">
        <v>1069765</v>
      </c>
      <c r="D11" s="173"/>
      <c r="E11" s="98">
        <v>0</v>
      </c>
      <c r="F11" s="98"/>
      <c r="G11" s="98">
        <f>C11+E11</f>
        <v>1069765</v>
      </c>
      <c r="H11" s="98"/>
      <c r="I11" s="98">
        <v>1069765</v>
      </c>
      <c r="J11" s="98"/>
      <c r="K11" s="98">
        <v>0</v>
      </c>
      <c r="L11" s="98"/>
      <c r="M11" s="98">
        <f>I11+K11</f>
        <v>1069765</v>
      </c>
    </row>
    <row r="12" spans="1:13" ht="32.25" customHeight="1" x14ac:dyDescent="0.45">
      <c r="A12" s="264" t="s">
        <v>134</v>
      </c>
      <c r="C12" s="98">
        <v>1338277</v>
      </c>
      <c r="D12" s="173"/>
      <c r="E12" s="268">
        <v>0</v>
      </c>
      <c r="F12" s="173"/>
      <c r="G12" s="98">
        <f t="shared" ref="G12" si="1">C12+E12</f>
        <v>1338277</v>
      </c>
      <c r="H12" s="3"/>
      <c r="I12" s="268">
        <v>1338277</v>
      </c>
      <c r="J12" s="3"/>
      <c r="K12" s="268">
        <v>0</v>
      </c>
      <c r="L12" s="3"/>
      <c r="M12" s="98">
        <f t="shared" si="0"/>
        <v>1338277</v>
      </c>
    </row>
    <row r="13" spans="1:13" ht="27" customHeight="1" thickBot="1" x14ac:dyDescent="0.5">
      <c r="C13" s="93">
        <f>SUM(C10:C12)</f>
        <v>4353872043</v>
      </c>
      <c r="D13" s="174"/>
      <c r="E13" s="93">
        <f>SUM(E10:E12)</f>
        <v>0</v>
      </c>
      <c r="F13" s="174"/>
      <c r="G13" s="93">
        <f>SUM(G10:G12)</f>
        <v>4353872043</v>
      </c>
      <c r="H13" s="3"/>
      <c r="I13" s="93">
        <f>SUM(I10:I12)</f>
        <v>4353872043</v>
      </c>
      <c r="J13" s="3"/>
      <c r="K13" s="93">
        <f>SUM(K10:K12)</f>
        <v>0</v>
      </c>
      <c r="L13" s="3"/>
      <c r="M13" s="93">
        <f>SUM(M10:M12)</f>
        <v>4353872043</v>
      </c>
    </row>
    <row r="14" spans="1:13" ht="19.5" thickTop="1" x14ac:dyDescent="0.45">
      <c r="H14" s="3"/>
      <c r="J14" s="3"/>
      <c r="L14" s="3"/>
    </row>
    <row r="15" spans="1:13" ht="18.75" x14ac:dyDescent="0.45">
      <c r="G15" s="66">
        <f>'درآمد سپرده بانکی '!C13</f>
        <v>4353872043</v>
      </c>
      <c r="H15" s="3"/>
      <c r="L15" s="3"/>
      <c r="M15" s="66">
        <f>'درآمد سپرده بانکی '!G13</f>
        <v>4353872043</v>
      </c>
    </row>
    <row r="16" spans="1:13" x14ac:dyDescent="0.45">
      <c r="E16" s="104"/>
      <c r="G16" s="213">
        <f>G13-G15</f>
        <v>0</v>
      </c>
      <c r="M16" s="213">
        <f>M13-M15</f>
        <v>0</v>
      </c>
    </row>
  </sheetData>
  <mergeCells count="7">
    <mergeCell ref="C7:G7"/>
    <mergeCell ref="I7:M7"/>
    <mergeCell ref="A1:M1"/>
    <mergeCell ref="A2:M2"/>
    <mergeCell ref="A3:M3"/>
    <mergeCell ref="A5:L5"/>
    <mergeCell ref="C6:G6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25</vt:i4>
      </vt:variant>
    </vt:vector>
  </HeadingPairs>
  <TitlesOfParts>
    <vt:vector size="44" baseType="lpstr">
      <vt:lpstr>تیتر</vt:lpstr>
      <vt:lpstr>0</vt:lpstr>
      <vt:lpstr>سرمایه گذاری ها  </vt:lpstr>
      <vt:lpstr>سرمایه گذاری در املاک</vt:lpstr>
      <vt:lpstr>سرمایه گذاری در سهام (2)</vt:lpstr>
      <vt:lpstr>صندوق</vt:lpstr>
      <vt:lpstr>سپرده</vt:lpstr>
      <vt:lpstr>درآمدها</vt:lpstr>
      <vt:lpstr>درآمد سرمایه گذاری املاک</vt:lpstr>
      <vt:lpstr>درآمد فروش املاک</vt:lpstr>
      <vt:lpstr>درآمد سرمایه گذاری در سهام </vt:lpstr>
      <vt:lpstr>درآمد سود سهام</vt:lpstr>
      <vt:lpstr>درآمد سرمایه گذاری در صندوق</vt:lpstr>
      <vt:lpstr>درآمد سود صندوق</vt:lpstr>
      <vt:lpstr>درآمد سپرده بانکی </vt:lpstr>
      <vt:lpstr>سایر درآمد ها</vt:lpstr>
      <vt:lpstr>درآمد فروش سهام</vt:lpstr>
      <vt:lpstr>درآمد تغییر قیمت</vt:lpstr>
      <vt:lpstr>درآمد سپرده بانکی  (2)</vt:lpstr>
      <vt:lpstr>'درآمد تغییر قیمت'!Print_Area</vt:lpstr>
      <vt:lpstr>'درآمد سپرده بانکی '!Print_Area</vt:lpstr>
      <vt:lpstr>'درآمد سپرده بانکی  (2)'!Print_Area</vt:lpstr>
      <vt:lpstr>'درآمد سرمایه گذاری املاک'!Print_Area</vt:lpstr>
      <vt:lpstr>'درآمد سرمایه گذاری در سهام '!Print_Area</vt:lpstr>
      <vt:lpstr>'درآمد سرمایه گذاری در صندوق'!Print_Area</vt:lpstr>
      <vt:lpstr>'درآمد سود سهام'!Print_Area</vt:lpstr>
      <vt:lpstr>'درآمد سود صندوق'!Print_Area</vt:lpstr>
      <vt:lpstr>'درآمد فروش املاک'!Print_Area</vt:lpstr>
      <vt:lpstr>'درآمد فروش سهام'!Print_Area</vt:lpstr>
      <vt:lpstr>درآمدها!Print_Area</vt:lpstr>
      <vt:lpstr>'سایر درآمد ها'!Print_Area</vt:lpstr>
      <vt:lpstr>سپرده!Print_Area</vt:lpstr>
      <vt:lpstr>'سرمایه گذاری در املاک'!Print_Area</vt:lpstr>
      <vt:lpstr>'سرمایه گذاری در سهام (2)'!Print_Area</vt:lpstr>
      <vt:lpstr>'سرمایه گذاری ها  '!Print_Area</vt:lpstr>
      <vt:lpstr>صندوق!Print_Area</vt:lpstr>
      <vt:lpstr>'درآمد تغییر قیمت'!Print_Titles</vt:lpstr>
      <vt:lpstr>'درآمد سرمایه گذاری املاک'!Print_Titles</vt:lpstr>
      <vt:lpstr>'درآمد سرمایه گذاری در سهام '!Print_Titles</vt:lpstr>
      <vt:lpstr>'درآمد سود سهام'!Print_Titles</vt:lpstr>
      <vt:lpstr>'درآمد فروش املاک'!Print_Titles</vt:lpstr>
      <vt:lpstr>'درآمد فروش سهام'!Print_Titles</vt:lpstr>
      <vt:lpstr>'سرمایه گذاری در املاک'!Print_Titles</vt:lpstr>
      <vt:lpstr>'سرمایه گذاری در سهام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Alireza Soleymani Malekan</cp:lastModifiedBy>
  <cp:lastPrinted>2026-07-29T14:52:33Z</cp:lastPrinted>
  <dcterms:created xsi:type="dcterms:W3CDTF">2024-03-26T11:48:49Z</dcterms:created>
  <dcterms:modified xsi:type="dcterms:W3CDTF">2026-07-29T14:58:25Z</dcterms:modified>
</cp:coreProperties>
</file>